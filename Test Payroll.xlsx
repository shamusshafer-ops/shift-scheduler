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:\CAW9483\2022 Payroll\"/>
    </mc:Choice>
  </mc:AlternateContent>
  <xr:revisionPtr revIDLastSave="0" documentId="14_{DE0F46F5-D1AD-45C3-B406-7B1A5D33E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ur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N183" i="1"/>
  <c r="L133" i="1" l="1"/>
  <c r="D133" i="1"/>
  <c r="P126" i="1"/>
  <c r="N123" i="1"/>
  <c r="P123" i="1"/>
  <c r="J123" i="1"/>
  <c r="F123" i="1"/>
  <c r="F98" i="1"/>
  <c r="H78" i="1"/>
  <c r="D53" i="1"/>
  <c r="N43" i="1"/>
  <c r="D43" i="1"/>
  <c r="F43" i="1"/>
  <c r="N8" i="1"/>
  <c r="L72" i="1" l="1"/>
  <c r="A265" i="1"/>
  <c r="A212" i="1"/>
  <c r="A177" i="1"/>
  <c r="A142" i="1"/>
  <c r="A107" i="1"/>
  <c r="A72" i="1"/>
  <c r="A37" i="1"/>
  <c r="F264" i="1"/>
  <c r="H264" i="1"/>
  <c r="J264" i="1"/>
  <c r="L264" i="1"/>
  <c r="N264" i="1"/>
  <c r="P264" i="1"/>
  <c r="D264" i="1"/>
  <c r="L213" i="1"/>
  <c r="L212" i="1"/>
  <c r="L178" i="1"/>
  <c r="L177" i="1"/>
  <c r="L143" i="1"/>
  <c r="L142" i="1"/>
  <c r="L108" i="1"/>
  <c r="L107" i="1"/>
  <c r="L73" i="1"/>
  <c r="L38" i="1"/>
  <c r="L37" i="1"/>
  <c r="L211" i="1"/>
  <c r="L176" i="1"/>
  <c r="L141" i="1"/>
  <c r="L106" i="1"/>
  <c r="L71" i="1"/>
  <c r="L36" i="1"/>
  <c r="C263" i="1"/>
  <c r="C262" i="1"/>
  <c r="C261" i="1"/>
  <c r="C260" i="1"/>
  <c r="C259" i="1"/>
  <c r="C258" i="1"/>
  <c r="C257" i="1"/>
  <c r="C256" i="1"/>
  <c r="C255" i="1"/>
  <c r="C254" i="1"/>
  <c r="S254" i="1"/>
  <c r="S255" i="1"/>
  <c r="S256" i="1"/>
  <c r="S257" i="1"/>
  <c r="S258" i="1"/>
  <c r="S259" i="1"/>
  <c r="S260" i="1"/>
  <c r="S261" i="1"/>
  <c r="S262" i="1"/>
  <c r="S263" i="1"/>
  <c r="A263" i="1"/>
  <c r="A262" i="1"/>
  <c r="A261" i="1"/>
  <c r="A260" i="1"/>
  <c r="A259" i="1"/>
  <c r="A258" i="1"/>
  <c r="A257" i="1"/>
  <c r="A256" i="1"/>
  <c r="A255" i="1"/>
  <c r="A254" i="1"/>
  <c r="A251" i="1"/>
  <c r="P234" i="1"/>
  <c r="N234" i="1"/>
  <c r="L234" i="1"/>
  <c r="J234" i="1"/>
  <c r="H234" i="1"/>
  <c r="F234" i="1"/>
  <c r="D234" i="1"/>
  <c r="P231" i="1"/>
  <c r="N231" i="1"/>
  <c r="L231" i="1"/>
  <c r="J231" i="1"/>
  <c r="H231" i="1"/>
  <c r="F231" i="1"/>
  <c r="D231" i="1"/>
  <c r="P228" i="1"/>
  <c r="N228" i="1"/>
  <c r="L228" i="1"/>
  <c r="J228" i="1"/>
  <c r="H228" i="1"/>
  <c r="F228" i="1"/>
  <c r="D228" i="1"/>
  <c r="P224" i="1"/>
  <c r="N224" i="1"/>
  <c r="L224" i="1"/>
  <c r="J224" i="1"/>
  <c r="H224" i="1"/>
  <c r="F224" i="1"/>
  <c r="D224" i="1"/>
  <c r="P221" i="1"/>
  <c r="N221" i="1"/>
  <c r="L221" i="1"/>
  <c r="J221" i="1"/>
  <c r="H221" i="1"/>
  <c r="F221" i="1"/>
  <c r="D221" i="1"/>
  <c r="P218" i="1"/>
  <c r="N218" i="1"/>
  <c r="L218" i="1"/>
  <c r="J218" i="1"/>
  <c r="H218" i="1"/>
  <c r="F218" i="1"/>
  <c r="D218" i="1"/>
  <c r="P209" i="1"/>
  <c r="N209" i="1"/>
  <c r="L209" i="1"/>
  <c r="J209" i="1"/>
  <c r="H209" i="1"/>
  <c r="F209" i="1"/>
  <c r="D209" i="1"/>
  <c r="P206" i="1"/>
  <c r="N206" i="1"/>
  <c r="L206" i="1"/>
  <c r="J206" i="1"/>
  <c r="H206" i="1"/>
  <c r="F206" i="1"/>
  <c r="D206" i="1"/>
  <c r="P203" i="1"/>
  <c r="N203" i="1"/>
  <c r="L203" i="1"/>
  <c r="J203" i="1"/>
  <c r="H203" i="1"/>
  <c r="F203" i="1"/>
  <c r="P199" i="1"/>
  <c r="N199" i="1"/>
  <c r="L199" i="1"/>
  <c r="J199" i="1"/>
  <c r="H199" i="1"/>
  <c r="F199" i="1"/>
  <c r="D199" i="1"/>
  <c r="P196" i="1"/>
  <c r="N196" i="1"/>
  <c r="L196" i="1"/>
  <c r="J196" i="1"/>
  <c r="H196" i="1"/>
  <c r="F196" i="1"/>
  <c r="D196" i="1"/>
  <c r="P193" i="1"/>
  <c r="N193" i="1"/>
  <c r="L193" i="1"/>
  <c r="J193" i="1"/>
  <c r="H193" i="1"/>
  <c r="F193" i="1"/>
  <c r="D193" i="1"/>
  <c r="P189" i="1"/>
  <c r="N189" i="1"/>
  <c r="L189" i="1"/>
  <c r="J189" i="1"/>
  <c r="H189" i="1"/>
  <c r="F189" i="1"/>
  <c r="D189" i="1"/>
  <c r="P186" i="1"/>
  <c r="N186" i="1"/>
  <c r="L186" i="1"/>
  <c r="J186" i="1"/>
  <c r="H186" i="1"/>
  <c r="F186" i="1"/>
  <c r="D186" i="1"/>
  <c r="P183" i="1"/>
  <c r="L183" i="1"/>
  <c r="J183" i="1"/>
  <c r="H183" i="1"/>
  <c r="F183" i="1"/>
  <c r="D183" i="1"/>
  <c r="P174" i="1"/>
  <c r="N174" i="1"/>
  <c r="L174" i="1"/>
  <c r="J174" i="1"/>
  <c r="H174" i="1"/>
  <c r="F174" i="1"/>
  <c r="D174" i="1"/>
  <c r="P171" i="1"/>
  <c r="N171" i="1"/>
  <c r="L171" i="1"/>
  <c r="J171" i="1"/>
  <c r="H171" i="1"/>
  <c r="F171" i="1"/>
  <c r="D171" i="1"/>
  <c r="P168" i="1"/>
  <c r="N168" i="1"/>
  <c r="L168" i="1"/>
  <c r="J168" i="1"/>
  <c r="H168" i="1"/>
  <c r="F168" i="1"/>
  <c r="D168" i="1"/>
  <c r="N175" i="1" l="1"/>
  <c r="D190" i="1"/>
  <c r="J200" i="1"/>
  <c r="D225" i="1"/>
  <c r="R216" i="1"/>
  <c r="R229" i="1"/>
  <c r="F235" i="1"/>
  <c r="R226" i="1"/>
  <c r="H235" i="1"/>
  <c r="F210" i="1"/>
  <c r="L200" i="1"/>
  <c r="F225" i="1"/>
  <c r="D210" i="1"/>
  <c r="R204" i="1"/>
  <c r="R194" i="1"/>
  <c r="R201" i="1"/>
  <c r="J225" i="1"/>
  <c r="D200" i="1"/>
  <c r="R219" i="1"/>
  <c r="P225" i="1"/>
  <c r="D235" i="1"/>
  <c r="H200" i="1"/>
  <c r="R207" i="1"/>
  <c r="N225" i="1"/>
  <c r="F190" i="1"/>
  <c r="R191" i="1"/>
  <c r="R222" i="1"/>
  <c r="L235" i="1"/>
  <c r="J235" i="1"/>
  <c r="H190" i="1"/>
  <c r="N200" i="1"/>
  <c r="H210" i="1"/>
  <c r="N235" i="1"/>
  <c r="J190" i="1"/>
  <c r="P200" i="1"/>
  <c r="J210" i="1"/>
  <c r="P235" i="1"/>
  <c r="R169" i="1"/>
  <c r="F175" i="1"/>
  <c r="L190" i="1"/>
  <c r="L210" i="1"/>
  <c r="H225" i="1"/>
  <c r="R232" i="1"/>
  <c r="R166" i="1"/>
  <c r="H175" i="1"/>
  <c r="N190" i="1"/>
  <c r="N210" i="1"/>
  <c r="J175" i="1"/>
  <c r="P190" i="1"/>
  <c r="F200" i="1"/>
  <c r="P210" i="1"/>
  <c r="L225" i="1"/>
  <c r="R197" i="1"/>
  <c r="L175" i="1"/>
  <c r="R184" i="1"/>
  <c r="R181" i="1"/>
  <c r="P175" i="1"/>
  <c r="D175" i="1"/>
  <c r="R187" i="1"/>
  <c r="R172" i="1"/>
  <c r="R225" i="1" l="1"/>
  <c r="R175" i="1"/>
  <c r="R235" i="1"/>
  <c r="R210" i="1"/>
  <c r="R190" i="1"/>
  <c r="R200" i="1"/>
  <c r="H123" i="1"/>
  <c r="H98" i="1"/>
  <c r="J98" i="1"/>
  <c r="D18" i="1"/>
  <c r="F18" i="1"/>
  <c r="H18" i="1"/>
  <c r="J18" i="1"/>
  <c r="P133" i="1"/>
  <c r="P136" i="1"/>
  <c r="H133" i="1"/>
  <c r="S246" i="1"/>
  <c r="S245" i="1"/>
  <c r="S142" i="1" l="1"/>
  <c r="S107" i="1"/>
  <c r="S72" i="1"/>
  <c r="S212" i="1" s="1"/>
  <c r="S37" i="1"/>
  <c r="S177" i="1" s="1"/>
  <c r="C246" i="1" l="1"/>
  <c r="C245" i="1"/>
  <c r="A246" i="1"/>
  <c r="A245" i="1"/>
  <c r="P34" i="1"/>
  <c r="N34" i="1"/>
  <c r="D34" i="1"/>
  <c r="P31" i="1"/>
  <c r="N31" i="1"/>
  <c r="L31" i="1"/>
  <c r="J31" i="1"/>
  <c r="H31" i="1"/>
  <c r="F31" i="1"/>
  <c r="D31" i="1"/>
  <c r="P28" i="1"/>
  <c r="N28" i="1"/>
  <c r="L28" i="1"/>
  <c r="J28" i="1"/>
  <c r="H28" i="1"/>
  <c r="F28" i="1"/>
  <c r="P24" i="1"/>
  <c r="N24" i="1"/>
  <c r="J24" i="1"/>
  <c r="H24" i="1"/>
  <c r="F24" i="1"/>
  <c r="D24" i="1"/>
  <c r="P21" i="1"/>
  <c r="N21" i="1"/>
  <c r="L21" i="1"/>
  <c r="J21" i="1"/>
  <c r="H21" i="1"/>
  <c r="F21" i="1"/>
  <c r="D21" i="1"/>
  <c r="P18" i="1"/>
  <c r="N18" i="1"/>
  <c r="L18" i="1"/>
  <c r="L25" i="1" l="1"/>
  <c r="F35" i="1"/>
  <c r="D35" i="1"/>
  <c r="R19" i="1"/>
  <c r="N25" i="1"/>
  <c r="P25" i="1"/>
  <c r="P35" i="1"/>
  <c r="D25" i="1"/>
  <c r="F25" i="1"/>
  <c r="R29" i="1"/>
  <c r="R26" i="1"/>
  <c r="N35" i="1"/>
  <c r="H35" i="1"/>
  <c r="J35" i="1"/>
  <c r="L35" i="1"/>
  <c r="R16" i="1"/>
  <c r="H25" i="1"/>
  <c r="J25" i="1"/>
  <c r="R32" i="1"/>
  <c r="R22" i="1"/>
  <c r="F164" i="1"/>
  <c r="H164" i="1"/>
  <c r="J164" i="1"/>
  <c r="L164" i="1"/>
  <c r="N164" i="1"/>
  <c r="P164" i="1"/>
  <c r="D164" i="1"/>
  <c r="F161" i="1"/>
  <c r="H161" i="1"/>
  <c r="J161" i="1"/>
  <c r="L161" i="1"/>
  <c r="N161" i="1"/>
  <c r="P161" i="1"/>
  <c r="D161" i="1"/>
  <c r="F158" i="1"/>
  <c r="H158" i="1"/>
  <c r="J158" i="1"/>
  <c r="L158" i="1"/>
  <c r="N158" i="1"/>
  <c r="P158" i="1"/>
  <c r="D158" i="1"/>
  <c r="F154" i="1"/>
  <c r="H154" i="1"/>
  <c r="J154" i="1"/>
  <c r="L154" i="1"/>
  <c r="N154" i="1"/>
  <c r="P154" i="1"/>
  <c r="D154" i="1"/>
  <c r="F151" i="1"/>
  <c r="H151" i="1"/>
  <c r="J151" i="1"/>
  <c r="L151" i="1"/>
  <c r="N151" i="1"/>
  <c r="P151" i="1"/>
  <c r="D151" i="1"/>
  <c r="F148" i="1"/>
  <c r="H148" i="1"/>
  <c r="J148" i="1"/>
  <c r="L148" i="1"/>
  <c r="N148" i="1"/>
  <c r="P148" i="1"/>
  <c r="D148" i="1"/>
  <c r="F139" i="1"/>
  <c r="H139" i="1"/>
  <c r="J139" i="1"/>
  <c r="N139" i="1"/>
  <c r="P139" i="1"/>
  <c r="D139" i="1"/>
  <c r="R35" i="1" l="1"/>
  <c r="R25" i="1"/>
  <c r="F136" i="1"/>
  <c r="H136" i="1"/>
  <c r="J136" i="1"/>
  <c r="L136" i="1"/>
  <c r="N136" i="1"/>
  <c r="D136" i="1"/>
  <c r="F133" i="1"/>
  <c r="J133" i="1"/>
  <c r="N133" i="1"/>
  <c r="F129" i="1"/>
  <c r="H129" i="1"/>
  <c r="J129" i="1"/>
  <c r="L129" i="1"/>
  <c r="N129" i="1"/>
  <c r="P129" i="1"/>
  <c r="D129" i="1"/>
  <c r="F126" i="1"/>
  <c r="H126" i="1"/>
  <c r="J126" i="1"/>
  <c r="L126" i="1"/>
  <c r="N126" i="1"/>
  <c r="D126" i="1"/>
  <c r="L123" i="1"/>
  <c r="D123" i="1"/>
  <c r="F119" i="1"/>
  <c r="H119" i="1"/>
  <c r="J119" i="1"/>
  <c r="N119" i="1"/>
  <c r="P119" i="1"/>
  <c r="D119" i="1"/>
  <c r="F116" i="1"/>
  <c r="H116" i="1"/>
  <c r="J116" i="1"/>
  <c r="L116" i="1"/>
  <c r="N116" i="1"/>
  <c r="P116" i="1"/>
  <c r="D116" i="1"/>
  <c r="F113" i="1"/>
  <c r="H113" i="1"/>
  <c r="J113" i="1"/>
  <c r="L113" i="1"/>
  <c r="N113" i="1"/>
  <c r="P113" i="1"/>
  <c r="D113" i="1"/>
  <c r="F101" i="1"/>
  <c r="H101" i="1"/>
  <c r="J101" i="1"/>
  <c r="L101" i="1"/>
  <c r="N101" i="1"/>
  <c r="P101" i="1"/>
  <c r="D101" i="1"/>
  <c r="L98" i="1"/>
  <c r="N98" i="1"/>
  <c r="P98" i="1"/>
  <c r="D98" i="1"/>
  <c r="F94" i="1"/>
  <c r="H94" i="1"/>
  <c r="J94" i="1"/>
  <c r="N94" i="1"/>
  <c r="P94" i="1"/>
  <c r="D94" i="1"/>
  <c r="F91" i="1"/>
  <c r="H91" i="1"/>
  <c r="J91" i="1"/>
  <c r="L91" i="1"/>
  <c r="D91" i="1"/>
  <c r="F88" i="1"/>
  <c r="H88" i="1"/>
  <c r="J88" i="1"/>
  <c r="L88" i="1"/>
  <c r="F84" i="1"/>
  <c r="H84" i="1"/>
  <c r="J84" i="1"/>
  <c r="P84" i="1"/>
  <c r="D84" i="1"/>
  <c r="F81" i="1"/>
  <c r="H81" i="1"/>
  <c r="J81" i="1"/>
  <c r="L81" i="1"/>
  <c r="N81" i="1"/>
  <c r="P81" i="1"/>
  <c r="D81" i="1"/>
  <c r="F78" i="1"/>
  <c r="J78" i="1"/>
  <c r="L78" i="1"/>
  <c r="N78" i="1"/>
  <c r="P78" i="1"/>
  <c r="D78" i="1"/>
  <c r="F69" i="1"/>
  <c r="H69" i="1"/>
  <c r="J69" i="1"/>
  <c r="N69" i="1"/>
  <c r="P69" i="1"/>
  <c r="D69" i="1"/>
  <c r="F66" i="1"/>
  <c r="H66" i="1"/>
  <c r="J66" i="1"/>
  <c r="L66" i="1"/>
  <c r="N66" i="1"/>
  <c r="P66" i="1"/>
  <c r="D66" i="1"/>
  <c r="F63" i="1"/>
  <c r="H63" i="1"/>
  <c r="J63" i="1"/>
  <c r="L63" i="1"/>
  <c r="N63" i="1"/>
  <c r="P63" i="1"/>
  <c r="D63" i="1"/>
  <c r="F59" i="1"/>
  <c r="H59" i="1"/>
  <c r="J59" i="1"/>
  <c r="N59" i="1"/>
  <c r="P59" i="1"/>
  <c r="D59" i="1"/>
  <c r="F56" i="1"/>
  <c r="H56" i="1"/>
  <c r="J56" i="1"/>
  <c r="L56" i="1"/>
  <c r="N56" i="1"/>
  <c r="D56" i="1"/>
  <c r="H53" i="1"/>
  <c r="J53" i="1"/>
  <c r="N53" i="1"/>
  <c r="P53" i="1"/>
  <c r="D60" i="1"/>
  <c r="P49" i="1" l="1"/>
  <c r="F46" i="1"/>
  <c r="H46" i="1"/>
  <c r="J46" i="1"/>
  <c r="L46" i="1"/>
  <c r="N46" i="1"/>
  <c r="P46" i="1"/>
  <c r="D46" i="1"/>
  <c r="F236" i="1"/>
  <c r="H43" i="1"/>
  <c r="H236" i="1" s="1"/>
  <c r="J43" i="1"/>
  <c r="L43" i="1"/>
  <c r="N236" i="1"/>
  <c r="P43" i="1"/>
  <c r="D236" i="1"/>
  <c r="F11" i="1"/>
  <c r="H11" i="1"/>
  <c r="J11" i="1"/>
  <c r="L11" i="1"/>
  <c r="N11" i="1"/>
  <c r="P11" i="1"/>
  <c r="D11" i="1"/>
  <c r="P8" i="1"/>
  <c r="P236" i="1" l="1"/>
  <c r="L238" i="1"/>
  <c r="L237" i="1"/>
  <c r="J238" i="1"/>
  <c r="N238" i="1"/>
  <c r="P237" i="1"/>
  <c r="N237" i="1"/>
  <c r="J237" i="1"/>
  <c r="H238" i="1"/>
  <c r="F238" i="1"/>
  <c r="H237" i="1"/>
  <c r="L236" i="1"/>
  <c r="J236" i="1"/>
  <c r="D238" i="1"/>
  <c r="F237" i="1"/>
  <c r="D237" i="1"/>
  <c r="P238" i="1"/>
  <c r="S241" i="1"/>
  <c r="S265" i="1" s="1"/>
  <c r="L239" i="1" l="1"/>
  <c r="N239" i="1"/>
  <c r="P239" i="1"/>
  <c r="R236" i="1"/>
  <c r="H239" i="1"/>
  <c r="D239" i="1"/>
  <c r="R238" i="1"/>
  <c r="J239" i="1"/>
  <c r="R237" i="1"/>
  <c r="F239" i="1"/>
  <c r="C253" i="1"/>
  <c r="A253" i="1"/>
  <c r="C252" i="1"/>
  <c r="A252" i="1"/>
  <c r="C251" i="1"/>
  <c r="C250" i="1"/>
  <c r="A250" i="1"/>
  <c r="C249" i="1"/>
  <c r="A249" i="1"/>
  <c r="C248" i="1"/>
  <c r="A248" i="1"/>
  <c r="C247" i="1"/>
  <c r="A247" i="1"/>
  <c r="C244" i="1"/>
  <c r="A244" i="1"/>
  <c r="R239" i="1" l="1"/>
  <c r="P5" i="1"/>
  <c r="N5" i="1" l="1"/>
  <c r="P40" i="1"/>
  <c r="P180" i="1" s="1"/>
  <c r="P75" i="1"/>
  <c r="P215" i="1" s="1"/>
  <c r="P145" i="1"/>
  <c r="P110" i="1"/>
  <c r="S244" i="1"/>
  <c r="S247" i="1"/>
  <c r="S248" i="1"/>
  <c r="S249" i="1"/>
  <c r="S250" i="1"/>
  <c r="S251" i="1"/>
  <c r="S252" i="1"/>
  <c r="S253" i="1"/>
  <c r="S264" i="1" l="1"/>
  <c r="L5" i="1"/>
  <c r="N40" i="1"/>
  <c r="N180" i="1" s="1"/>
  <c r="N75" i="1"/>
  <c r="N215" i="1" s="1"/>
  <c r="N110" i="1"/>
  <c r="N145" i="1"/>
  <c r="D85" i="1"/>
  <c r="J5" i="1" l="1"/>
  <c r="L40" i="1"/>
  <c r="L180" i="1" s="1"/>
  <c r="L75" i="1"/>
  <c r="L215" i="1" s="1"/>
  <c r="L110" i="1"/>
  <c r="L145" i="1"/>
  <c r="H5" i="1" l="1"/>
  <c r="J75" i="1"/>
  <c r="J215" i="1" s="1"/>
  <c r="J110" i="1"/>
  <c r="J145" i="1"/>
  <c r="J40" i="1"/>
  <c r="J180" i="1" s="1"/>
  <c r="F5" i="1" l="1"/>
  <c r="H110" i="1"/>
  <c r="H145" i="1"/>
  <c r="H40" i="1"/>
  <c r="H180" i="1" s="1"/>
  <c r="H75" i="1"/>
  <c r="H215" i="1" s="1"/>
  <c r="R264" i="1"/>
  <c r="P155" i="1"/>
  <c r="N155" i="1"/>
  <c r="L155" i="1"/>
  <c r="J155" i="1"/>
  <c r="H155" i="1"/>
  <c r="F155" i="1"/>
  <c r="D155" i="1"/>
  <c r="R152" i="1"/>
  <c r="R149" i="1"/>
  <c r="R146" i="1"/>
  <c r="D5" i="1" l="1"/>
  <c r="F145" i="1"/>
  <c r="F40" i="1"/>
  <c r="F180" i="1" s="1"/>
  <c r="F75" i="1"/>
  <c r="F215" i="1" s="1"/>
  <c r="F110" i="1"/>
  <c r="R155" i="1"/>
  <c r="D40" i="1" l="1"/>
  <c r="D180" i="1" s="1"/>
  <c r="D145" i="1"/>
  <c r="D75" i="1"/>
  <c r="D215" i="1" s="1"/>
  <c r="D110" i="1"/>
  <c r="P140" i="1"/>
  <c r="N140" i="1"/>
  <c r="L140" i="1"/>
  <c r="J140" i="1"/>
  <c r="H140" i="1"/>
  <c r="F140" i="1"/>
  <c r="D140" i="1"/>
  <c r="P165" i="1"/>
  <c r="N165" i="1"/>
  <c r="L165" i="1"/>
  <c r="J165" i="1"/>
  <c r="H165" i="1"/>
  <c r="F165" i="1"/>
  <c r="D165" i="1"/>
  <c r="P50" i="1"/>
  <c r="N50" i="1"/>
  <c r="L50" i="1"/>
  <c r="J50" i="1"/>
  <c r="H50" i="1"/>
  <c r="F50" i="1"/>
  <c r="D50" i="1"/>
  <c r="P130" i="1"/>
  <c r="N130" i="1"/>
  <c r="L130" i="1"/>
  <c r="J130" i="1"/>
  <c r="H130" i="1"/>
  <c r="F130" i="1"/>
  <c r="D130" i="1"/>
  <c r="P120" i="1"/>
  <c r="N120" i="1"/>
  <c r="L120" i="1"/>
  <c r="J120" i="1"/>
  <c r="H120" i="1"/>
  <c r="F120" i="1"/>
  <c r="D120" i="1"/>
  <c r="P105" i="1"/>
  <c r="N105" i="1"/>
  <c r="L105" i="1"/>
  <c r="J105" i="1"/>
  <c r="H105" i="1"/>
  <c r="F105" i="1"/>
  <c r="D105" i="1"/>
  <c r="P95" i="1"/>
  <c r="N95" i="1"/>
  <c r="L95" i="1"/>
  <c r="J95" i="1"/>
  <c r="H95" i="1"/>
  <c r="F95" i="1"/>
  <c r="D95" i="1"/>
  <c r="P85" i="1"/>
  <c r="N85" i="1"/>
  <c r="L85" i="1"/>
  <c r="J85" i="1"/>
  <c r="H85" i="1"/>
  <c r="F85" i="1"/>
  <c r="P70" i="1"/>
  <c r="N70" i="1"/>
  <c r="L70" i="1"/>
  <c r="J70" i="1"/>
  <c r="H70" i="1"/>
  <c r="F70" i="1"/>
  <c r="D70" i="1"/>
  <c r="P60" i="1"/>
  <c r="N60" i="1"/>
  <c r="L60" i="1"/>
  <c r="J60" i="1"/>
  <c r="H60" i="1"/>
  <c r="F60" i="1"/>
  <c r="R127" i="1" l="1"/>
  <c r="R124" i="1"/>
  <c r="R121" i="1"/>
  <c r="R131" i="1" l="1"/>
  <c r="R134" i="1"/>
  <c r="R137" i="1"/>
  <c r="R140" i="1" l="1"/>
  <c r="R51" i="1" l="1"/>
  <c r="R54" i="1"/>
  <c r="P15" i="1" l="1"/>
  <c r="N15" i="1"/>
  <c r="L15" i="1"/>
  <c r="J15" i="1"/>
  <c r="H15" i="1"/>
  <c r="F15" i="1"/>
  <c r="D15" i="1"/>
  <c r="R12" i="1"/>
  <c r="R9" i="1"/>
  <c r="R6" i="1"/>
  <c r="R15" i="1" l="1"/>
  <c r="R57" i="1"/>
  <c r="R76" i="1"/>
  <c r="R79" i="1"/>
  <c r="R82" i="1"/>
  <c r="R111" i="1"/>
  <c r="R92" i="1"/>
  <c r="R89" i="1"/>
  <c r="R86" i="1"/>
  <c r="R61" i="1"/>
  <c r="R64" i="1"/>
  <c r="R67" i="1"/>
  <c r="R41" i="1"/>
  <c r="R44" i="1"/>
  <c r="R47" i="1"/>
  <c r="R114" i="1"/>
  <c r="R117" i="1"/>
  <c r="R156" i="1"/>
  <c r="R159" i="1"/>
  <c r="R162" i="1"/>
  <c r="R96" i="1"/>
  <c r="R99" i="1"/>
  <c r="R102" i="1"/>
  <c r="R50" i="1" l="1"/>
  <c r="R165" i="1"/>
  <c r="R120" i="1"/>
  <c r="R85" i="1"/>
  <c r="R60" i="1"/>
  <c r="R70" i="1"/>
  <c r="R130" i="1"/>
  <c r="R105" i="1"/>
  <c r="R95" i="1"/>
  <c r="T239" i="1" l="1"/>
</calcChain>
</file>

<file path=xl/sharedStrings.xml><?xml version="1.0" encoding="utf-8"?>
<sst xmlns="http://schemas.openxmlformats.org/spreadsheetml/2006/main" count="558" uniqueCount="105">
  <si>
    <t xml:space="preserve">SUPERVISOR:  </t>
  </si>
  <si>
    <t xml:space="preserve">Office Phone:  </t>
  </si>
  <si>
    <t xml:space="preserve">WEEK ENDING:  </t>
  </si>
  <si>
    <t xml:space="preserve">Cell Phone:  </t>
  </si>
  <si>
    <t>SCHEDULED HOURS</t>
  </si>
  <si>
    <t>Totals</t>
  </si>
  <si>
    <t>Name</t>
  </si>
  <si>
    <t>ST</t>
  </si>
  <si>
    <t>IN</t>
  </si>
  <si>
    <t>OUT</t>
  </si>
  <si>
    <t>Level</t>
  </si>
  <si>
    <t>Status</t>
  </si>
  <si>
    <t>HRS</t>
  </si>
  <si>
    <t>Super.</t>
  </si>
  <si>
    <t>F/T</t>
  </si>
  <si>
    <t>OT</t>
  </si>
  <si>
    <t>Comments</t>
  </si>
  <si>
    <t>OTHER</t>
  </si>
  <si>
    <t>Employee Totals</t>
  </si>
  <si>
    <t>-</t>
  </si>
  <si>
    <t>TOTALS</t>
  </si>
  <si>
    <t>Total Hours</t>
  </si>
  <si>
    <t>Total Weekly Hours</t>
  </si>
  <si>
    <t>Normal Weekly Hours should be:</t>
  </si>
  <si>
    <t>WEEKENDING:</t>
  </si>
  <si>
    <t>BILLABLE HOURS</t>
  </si>
  <si>
    <t>PAYROLL HOURS</t>
  </si>
  <si>
    <t>NAME</t>
  </si>
  <si>
    <t>Reg.Hrs</t>
  </si>
  <si>
    <t>Billable    OT Hrs               1 ½</t>
  </si>
  <si>
    <t>Hol. Hrs Worked      1 ½</t>
  </si>
  <si>
    <t>Vacation</t>
  </si>
  <si>
    <t>Holiday Pay ST</t>
  </si>
  <si>
    <t>Training ST Hrs</t>
  </si>
  <si>
    <t>Training  OT Hrs         1 ½</t>
  </si>
  <si>
    <t>NB-OT</t>
  </si>
  <si>
    <t>Total</t>
  </si>
  <si>
    <t xml:space="preserve">TOTALS  </t>
  </si>
  <si>
    <t>Training Time:</t>
  </si>
  <si>
    <t>Billable OT:</t>
  </si>
  <si>
    <t>Non-Billable OT:</t>
  </si>
  <si>
    <t>Missed Scans:</t>
  </si>
  <si>
    <t>Boerder, John</t>
  </si>
  <si>
    <t>Shafer, Shamus</t>
  </si>
  <si>
    <t>Assist.</t>
  </si>
  <si>
    <t>Hanna, Gerald</t>
  </si>
  <si>
    <t>Hillenburg, Elizabeth</t>
  </si>
  <si>
    <t>Harms, Bridgette</t>
  </si>
  <si>
    <t>Bentley, Thomas</t>
  </si>
  <si>
    <t>John Boerder</t>
  </si>
  <si>
    <t>(231) 388-5092</t>
  </si>
  <si>
    <t>CLIENT: PCA - Filer City, MI</t>
  </si>
  <si>
    <t>BILLING AND  PAYROLL WORKSHEET RECAP for PCA-Filer City</t>
  </si>
  <si>
    <t>FT</t>
  </si>
  <si>
    <t>(231) 723-9951   Ext. 1331</t>
  </si>
  <si>
    <t>PT</t>
  </si>
  <si>
    <t>Ray, Bruce</t>
  </si>
  <si>
    <t>Non Billable OT:</t>
  </si>
  <si>
    <t xml:space="preserve"> </t>
  </si>
  <si>
    <t xml:space="preserve">  </t>
  </si>
  <si>
    <t xml:space="preserve">                           </t>
  </si>
  <si>
    <t>Staffan, Sara</t>
  </si>
  <si>
    <t>Parks,Jessica</t>
  </si>
  <si>
    <t>Beverly, Tony</t>
  </si>
  <si>
    <t>EMR</t>
  </si>
  <si>
    <t>Pete, David</t>
  </si>
  <si>
    <t>Cameron, Hunter</t>
  </si>
  <si>
    <t>Londo,  James</t>
  </si>
  <si>
    <t>Cole, Brad</t>
  </si>
  <si>
    <t>Off</t>
  </si>
  <si>
    <t>12 hours NB OT short guard</t>
  </si>
  <si>
    <t>PTO</t>
  </si>
  <si>
    <t>Pay</t>
  </si>
  <si>
    <t>3/29 8 hours PTO Pay</t>
  </si>
  <si>
    <t>0600-1000</t>
  </si>
  <si>
    <t>2200-0600</t>
  </si>
  <si>
    <t>Called Off</t>
  </si>
  <si>
    <t>4 hours NB OT short guard</t>
  </si>
  <si>
    <t xml:space="preserve">8 hours billable OT for </t>
  </si>
  <si>
    <t>scale training</t>
  </si>
  <si>
    <t>Beverly no out scan worked 1400-2200 8 hours 3/30/2026</t>
  </si>
  <si>
    <t>3/30 no out scan worked</t>
  </si>
  <si>
    <t>14:00-22:00 8 hours</t>
  </si>
  <si>
    <t>Shafer 12 hours NB OT short guard</t>
  </si>
  <si>
    <t>3/29 Harms 8 hours PTO</t>
  </si>
  <si>
    <t>Cameron 4 hours NB OT short guard</t>
  </si>
  <si>
    <t>Pete 8 hours billable OT for training in scale</t>
  </si>
  <si>
    <t>Londo 4 hours NB OT short guard</t>
  </si>
  <si>
    <t>3/31 &amp; 4/2 Pete trained in scale 4 hours each day.</t>
  </si>
  <si>
    <t xml:space="preserve">4/1 Cameron no in scan </t>
  </si>
  <si>
    <t>worked 1400-2200 8 hours</t>
  </si>
  <si>
    <t>4/2 $ 4/3 Staffan trained in scale total of 7.5 hours</t>
  </si>
  <si>
    <t>4/1 no out scan worked</t>
  </si>
  <si>
    <t>0600-1400 8 hours</t>
  </si>
  <si>
    <t>0600-1400</t>
  </si>
  <si>
    <t>20  hours NB OT short guard</t>
  </si>
  <si>
    <t>4/4 Called off</t>
  </si>
  <si>
    <t>4/4 no in scan 12 hours</t>
  </si>
  <si>
    <t>Notes</t>
  </si>
  <si>
    <t>4/4 Staffan called off</t>
  </si>
  <si>
    <t>Hillenburg 20 hours NB OT short guard</t>
  </si>
  <si>
    <t>3/30 Parks called off</t>
  </si>
  <si>
    <t>4/1 Hanna no out scan worked 0600-1400 8 hours</t>
  </si>
  <si>
    <t>3/30 Called Off</t>
  </si>
  <si>
    <t>4/1 Cameron no in scan worked 1400-2200 8 hours.    4/4 Cameron no in scan worked 0600-1800 12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</si>
</sst>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/d/yy;@"/>
  </numFmts>
  <fonts count="18" x14ac:knownFonts="1">
    <font>
      <sz val="10"/>
      <name val="Arial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sz val="1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4"/>
      <name val="Cambria"/>
      <family val="1"/>
    </font>
    <font>
      <b/>
      <i/>
      <sz val="16"/>
      <name val="Cambria"/>
      <family val="1"/>
    </font>
    <font>
      <b/>
      <sz val="10"/>
      <name val="Cambria"/>
      <family val="1"/>
      <scheme val="major"/>
    </font>
    <font>
      <sz val="11"/>
      <name val="Cambria"/>
      <family val="1"/>
    </font>
    <font>
      <b/>
      <sz val="12"/>
      <color theme="1"/>
      <name val="Cambria"/>
      <family val="1"/>
    </font>
    <font>
      <b/>
      <i/>
      <sz val="14"/>
      <name val="Cambria"/>
      <family val="1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/>
    <xf numFmtId="0" fontId="6" fillId="0" borderId="24" xfId="0" applyFont="1" applyBorder="1" applyAlignment="1">
      <alignment horizontal="left"/>
    </xf>
    <xf numFmtId="0" fontId="6" fillId="0" borderId="24" xfId="0" applyFont="1" applyBorder="1"/>
    <xf numFmtId="0" fontId="6" fillId="0" borderId="24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2" fillId="4" borderId="21" xfId="0" applyFont="1" applyFill="1" applyBorder="1"/>
    <xf numFmtId="0" fontId="6" fillId="0" borderId="1" xfId="0" applyFont="1" applyBorder="1" applyAlignment="1">
      <alignment horizontal="left"/>
    </xf>
    <xf numFmtId="0" fontId="2" fillId="0" borderId="24" xfId="0" applyFont="1" applyBorder="1"/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9" xfId="0" applyFont="1" applyBorder="1"/>
    <xf numFmtId="0" fontId="6" fillId="0" borderId="23" xfId="0" applyFont="1" applyBorder="1"/>
    <xf numFmtId="0" fontId="6" fillId="0" borderId="23" xfId="0" applyFont="1" applyBorder="1" applyAlignment="1">
      <alignment horizontal="right"/>
    </xf>
    <xf numFmtId="0" fontId="6" fillId="0" borderId="25" xfId="0" applyFont="1" applyBorder="1"/>
    <xf numFmtId="14" fontId="1" fillId="0" borderId="0" xfId="0" applyNumberFormat="1" applyFont="1"/>
    <xf numFmtId="0" fontId="2" fillId="4" borderId="0" xfId="0" applyFont="1" applyFill="1"/>
    <xf numFmtId="0" fontId="2" fillId="4" borderId="26" xfId="0" applyFont="1" applyFill="1" applyBorder="1"/>
    <xf numFmtId="0" fontId="6" fillId="4" borderId="29" xfId="0" applyFont="1" applyFill="1" applyBorder="1" applyAlignment="1">
      <alignment horizontal="center"/>
    </xf>
    <xf numFmtId="0" fontId="2" fillId="0" borderId="5" xfId="0" applyFont="1" applyBorder="1"/>
    <xf numFmtId="0" fontId="2" fillId="0" borderId="14" xfId="0" applyFont="1" applyBorder="1"/>
    <xf numFmtId="0" fontId="3" fillId="9" borderId="2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2" fillId="2" borderId="8" xfId="0" applyFont="1" applyFill="1" applyBorder="1"/>
    <xf numFmtId="0" fontId="2" fillId="0" borderId="8" xfId="0" applyFont="1" applyBorder="1"/>
    <xf numFmtId="0" fontId="2" fillId="0" borderId="2" xfId="0" applyFont="1" applyBorder="1"/>
    <xf numFmtId="0" fontId="2" fillId="2" borderId="10" xfId="0" applyFont="1" applyFill="1" applyBorder="1"/>
    <xf numFmtId="2" fontId="6" fillId="3" borderId="33" xfId="0" applyNumberFormat="1" applyFont="1" applyFill="1" applyBorder="1" applyAlignment="1">
      <alignment horizontal="center"/>
    </xf>
    <xf numFmtId="0" fontId="2" fillId="3" borderId="10" xfId="0" applyFont="1" applyFill="1" applyBorder="1"/>
    <xf numFmtId="2" fontId="6" fillId="3" borderId="20" xfId="0" applyNumberFormat="1" applyFont="1" applyFill="1" applyBorder="1" applyAlignment="1">
      <alignment horizontal="center"/>
    </xf>
    <xf numFmtId="0" fontId="2" fillId="0" borderId="21" xfId="0" applyFont="1" applyBorder="1"/>
    <xf numFmtId="0" fontId="2" fillId="3" borderId="21" xfId="0" applyFont="1" applyFill="1" applyBorder="1"/>
    <xf numFmtId="0" fontId="2" fillId="2" borderId="9" xfId="0" applyFont="1" applyFill="1" applyBorder="1"/>
    <xf numFmtId="2" fontId="2" fillId="0" borderId="0" xfId="0" applyNumberFormat="1" applyFont="1"/>
    <xf numFmtId="0" fontId="2" fillId="0" borderId="13" xfId="0" applyFont="1" applyBorder="1"/>
    <xf numFmtId="0" fontId="2" fillId="0" borderId="9" xfId="0" applyFont="1" applyBorder="1"/>
    <xf numFmtId="0" fontId="2" fillId="3" borderId="8" xfId="0" applyFont="1" applyFill="1" applyBorder="1"/>
    <xf numFmtId="2" fontId="6" fillId="3" borderId="32" xfId="0" applyNumberFormat="1" applyFont="1" applyFill="1" applyBorder="1" applyAlignment="1">
      <alignment horizontal="center"/>
    </xf>
    <xf numFmtId="0" fontId="3" fillId="0" borderId="2" xfId="0" applyFont="1" applyBorder="1"/>
    <xf numFmtId="0" fontId="2" fillId="0" borderId="0" xfId="0" applyFont="1" applyAlignment="1">
      <alignment horizontal="right"/>
    </xf>
    <xf numFmtId="0" fontId="6" fillId="5" borderId="34" xfId="0" applyFont="1" applyFill="1" applyBorder="1"/>
    <xf numFmtId="2" fontId="5" fillId="5" borderId="13" xfId="0" applyNumberFormat="1" applyFont="1" applyFill="1" applyBorder="1" applyAlignment="1">
      <alignment horizontal="center"/>
    </xf>
    <xf numFmtId="0" fontId="3" fillId="7" borderId="35" xfId="0" applyFont="1" applyFill="1" applyBorder="1"/>
    <xf numFmtId="0" fontId="3" fillId="7" borderId="42" xfId="0" applyFont="1" applyFill="1" applyBorder="1" applyAlignment="1">
      <alignment horizontal="right"/>
    </xf>
    <xf numFmtId="0" fontId="3" fillId="7" borderId="42" xfId="0" applyFont="1" applyFill="1" applyBorder="1"/>
    <xf numFmtId="1" fontId="7" fillId="7" borderId="23" xfId="0" applyNumberFormat="1" applyFont="1" applyFill="1" applyBorder="1" applyAlignment="1">
      <alignment horizontal="center"/>
    </xf>
    <xf numFmtId="1" fontId="7" fillId="7" borderId="27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12" fillId="0" borderId="23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2" fontId="9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2" xfId="0" applyFont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3" fillId="0" borderId="0" xfId="0" applyFont="1" applyProtection="1">
      <protection locked="0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2" fontId="6" fillId="3" borderId="36" xfId="0" applyNumberFormat="1" applyFont="1" applyFill="1" applyBorder="1" applyAlignment="1">
      <alignment horizont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3" fillId="0" borderId="3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left" vertical="center"/>
    </xf>
    <xf numFmtId="0" fontId="3" fillId="0" borderId="4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3" fillId="0" borderId="0" xfId="0" applyFont="1"/>
    <xf numFmtId="0" fontId="3" fillId="0" borderId="31" xfId="0" applyFont="1" applyBorder="1" applyAlignment="1" applyProtection="1">
      <alignment horizontal="left"/>
      <protection locked="0"/>
    </xf>
    <xf numFmtId="0" fontId="3" fillId="6" borderId="31" xfId="0" applyFont="1" applyFill="1" applyBorder="1" applyAlignment="1" applyProtection="1">
      <alignment horizontal="left"/>
      <protection locked="0"/>
    </xf>
    <xf numFmtId="0" fontId="6" fillId="0" borderId="24" xfId="0" applyFont="1" applyBorder="1" applyProtection="1">
      <protection locked="0"/>
    </xf>
    <xf numFmtId="0" fontId="6" fillId="0" borderId="0" xfId="0" applyFont="1" applyProtection="1">
      <protection locked="0"/>
    </xf>
    <xf numFmtId="14" fontId="1" fillId="8" borderId="0" xfId="0" applyNumberFormat="1" applyFont="1" applyFill="1" applyAlignment="1" applyProtection="1">
      <alignment horizontal="center"/>
      <protection locked="0"/>
    </xf>
    <xf numFmtId="14" fontId="1" fillId="8" borderId="26" xfId="0" applyNumberFormat="1" applyFont="1" applyFill="1" applyBorder="1" applyAlignment="1" applyProtection="1">
      <alignment horizontal="center"/>
      <protection locked="0"/>
    </xf>
    <xf numFmtId="14" fontId="1" fillId="0" borderId="23" xfId="0" applyNumberFormat="1" applyFont="1" applyBorder="1" applyAlignment="1">
      <alignment horizontal="center"/>
    </xf>
    <xf numFmtId="0" fontId="6" fillId="0" borderId="23" xfId="0" applyFont="1" applyBorder="1" applyProtection="1">
      <protection locked="0"/>
    </xf>
    <xf numFmtId="0" fontId="2" fillId="3" borderId="23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12" xfId="0" applyNumberFormat="1" applyFont="1" applyBorder="1" applyAlignment="1" applyProtection="1">
      <alignment horizontal="center"/>
      <protection locked="0"/>
    </xf>
    <xf numFmtId="2" fontId="2" fillId="2" borderId="46" xfId="0" applyNumberFormat="1" applyFont="1" applyFill="1" applyBorder="1" applyAlignment="1" applyProtection="1">
      <alignment horizontal="center"/>
      <protection locked="0"/>
    </xf>
    <xf numFmtId="2" fontId="2" fillId="2" borderId="12" xfId="0" applyNumberFormat="1" applyFont="1" applyFill="1" applyBorder="1" applyAlignment="1" applyProtection="1">
      <alignment horizontal="center"/>
      <protection locked="0"/>
    </xf>
    <xf numFmtId="2" fontId="6" fillId="3" borderId="47" xfId="0" applyNumberFormat="1" applyFont="1" applyFill="1" applyBorder="1" applyAlignment="1">
      <alignment horizontal="center"/>
    </xf>
    <xf numFmtId="2" fontId="6" fillId="3" borderId="41" xfId="0" applyNumberFormat="1" applyFont="1" applyFill="1" applyBorder="1" applyAlignment="1">
      <alignment horizontal="center"/>
    </xf>
    <xf numFmtId="164" fontId="2" fillId="0" borderId="28" xfId="0" applyNumberFormat="1" applyFont="1" applyBorder="1" applyAlignment="1" applyProtection="1">
      <alignment horizontal="center"/>
      <protection locked="0"/>
    </xf>
    <xf numFmtId="164" fontId="2" fillId="0" borderId="3" xfId="0" applyNumberFormat="1" applyFont="1" applyBorder="1" applyAlignment="1" applyProtection="1">
      <alignment horizontal="center"/>
      <protection locked="0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2" fillId="0" borderId="6" xfId="0" applyNumberFormat="1" applyFont="1" applyBorder="1" applyAlignment="1" applyProtection="1">
      <alignment horizontal="center"/>
      <protection locked="0"/>
    </xf>
    <xf numFmtId="165" fontId="2" fillId="0" borderId="35" xfId="0" applyNumberFormat="1" applyFont="1" applyBorder="1" applyAlignment="1">
      <alignment horizontal="center"/>
    </xf>
    <xf numFmtId="165" fontId="2" fillId="0" borderId="29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14" fillId="0" borderId="50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3" fillId="0" borderId="37" xfId="0" applyFont="1" applyBorder="1" applyAlignment="1" applyProtection="1">
      <alignment horizontal="left"/>
      <protection locked="0"/>
    </xf>
    <xf numFmtId="2" fontId="9" fillId="0" borderId="35" xfId="0" applyNumberFormat="1" applyFont="1" applyBorder="1" applyAlignment="1">
      <alignment horizontal="center" vertical="center"/>
    </xf>
    <xf numFmtId="2" fontId="9" fillId="0" borderId="22" xfId="0" applyNumberFormat="1" applyFont="1" applyBorder="1" applyAlignment="1">
      <alignment horizontal="center" vertical="center"/>
    </xf>
    <xf numFmtId="2" fontId="6" fillId="2" borderId="20" xfId="0" applyNumberFormat="1" applyFont="1" applyFill="1" applyBorder="1" applyAlignment="1">
      <alignment horizontal="center" vertical="center"/>
    </xf>
    <xf numFmtId="2" fontId="6" fillId="2" borderId="33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Border="1" applyAlignment="1" applyProtection="1">
      <alignment horizontal="center" vertical="center"/>
      <protection locked="0"/>
    </xf>
    <xf numFmtId="2" fontId="6" fillId="2" borderId="50" xfId="0" applyNumberFormat="1" applyFont="1" applyFill="1" applyBorder="1" applyAlignment="1">
      <alignment horizontal="center" vertical="center"/>
    </xf>
    <xf numFmtId="2" fontId="6" fillId="2" borderId="51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60" xfId="0" applyNumberFormat="1" applyFont="1" applyFill="1" applyBorder="1" applyAlignment="1">
      <alignment horizontal="center" vertical="center"/>
    </xf>
    <xf numFmtId="2" fontId="6" fillId="2" borderId="61" xfId="0" applyNumberFormat="1" applyFont="1" applyFill="1" applyBorder="1" applyAlignment="1">
      <alignment horizontal="center" vertical="center"/>
    </xf>
    <xf numFmtId="2" fontId="6" fillId="2" borderId="59" xfId="0" applyNumberFormat="1" applyFont="1" applyFill="1" applyBorder="1" applyAlignment="1">
      <alignment horizontal="center" vertical="center"/>
    </xf>
    <xf numFmtId="2" fontId="6" fillId="2" borderId="39" xfId="0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2" fontId="6" fillId="2" borderId="30" xfId="0" applyNumberFormat="1" applyFont="1" applyFill="1" applyBorder="1" applyAlignment="1">
      <alignment horizontal="center" vertical="center"/>
    </xf>
    <xf numFmtId="2" fontId="6" fillId="2" borderId="15" xfId="0" applyNumberFormat="1" applyFont="1" applyFill="1" applyBorder="1" applyAlignment="1">
      <alignment horizontal="center" vertical="center"/>
    </xf>
    <xf numFmtId="2" fontId="6" fillId="3" borderId="52" xfId="0" applyNumberFormat="1" applyFont="1" applyFill="1" applyBorder="1" applyAlignment="1">
      <alignment horizontal="center"/>
    </xf>
    <xf numFmtId="2" fontId="6" fillId="3" borderId="18" xfId="0" applyNumberFormat="1" applyFont="1" applyFill="1" applyBorder="1" applyAlignment="1">
      <alignment horizontal="center"/>
    </xf>
    <xf numFmtId="0" fontId="6" fillId="4" borderId="35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2" fontId="17" fillId="2" borderId="46" xfId="0" applyNumberFormat="1" applyFont="1" applyFill="1" applyBorder="1" applyAlignment="1" applyProtection="1">
      <alignment horizontal="center"/>
      <protection locked="0"/>
    </xf>
    <xf numFmtId="2" fontId="17" fillId="2" borderId="12" xfId="0" applyNumberFormat="1" applyFont="1" applyFill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3" fillId="9" borderId="2" xfId="0" applyFont="1" applyFill="1" applyBorder="1" applyAlignment="1">
      <alignment horizontal="left" wrapText="1"/>
    </xf>
    <xf numFmtId="0" fontId="3" fillId="9" borderId="0" xfId="0" applyFont="1" applyFill="1" applyAlignment="1">
      <alignment horizontal="left" wrapText="1"/>
    </xf>
    <xf numFmtId="0" fontId="6" fillId="0" borderId="44" xfId="0" applyFont="1" applyBorder="1" applyAlignment="1">
      <alignment horizontal="right"/>
    </xf>
    <xf numFmtId="0" fontId="6" fillId="0" borderId="45" xfId="0" applyFont="1" applyBorder="1" applyAlignment="1">
      <alignment horizontal="right"/>
    </xf>
    <xf numFmtId="0" fontId="6" fillId="0" borderId="41" xfId="0" applyFont="1" applyBorder="1" applyAlignment="1">
      <alignment horizontal="right"/>
    </xf>
    <xf numFmtId="0" fontId="4" fillId="0" borderId="43" xfId="0" applyFont="1" applyBorder="1" applyAlignment="1" applyProtection="1">
      <alignment wrapText="1"/>
      <protection locked="0"/>
    </xf>
    <xf numFmtId="0" fontId="4" fillId="0" borderId="16" xfId="0" applyFont="1" applyBorder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17" fillId="0" borderId="2" xfId="0" applyFont="1" applyBorder="1" applyAlignment="1" applyProtection="1">
      <alignment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2" xfId="0" applyFont="1" applyBorder="1" applyProtection="1">
      <protection locked="0"/>
    </xf>
    <xf numFmtId="0" fontId="17" fillId="0" borderId="6" xfId="0" applyFont="1" applyBorder="1" applyProtection="1">
      <protection locked="0"/>
    </xf>
    <xf numFmtId="0" fontId="2" fillId="0" borderId="32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4" fillId="0" borderId="2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3" fillId="9" borderId="1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6" fillId="0" borderId="57" xfId="0" applyFont="1" applyBorder="1" applyAlignment="1">
      <alignment horizontal="right"/>
    </xf>
    <xf numFmtId="0" fontId="6" fillId="0" borderId="58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35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39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17" fillId="0" borderId="6" xfId="0" applyFont="1" applyBorder="1" applyAlignment="1" applyProtection="1">
      <alignment wrapText="1"/>
      <protection locked="0"/>
    </xf>
    <xf numFmtId="0" fontId="17" fillId="0" borderId="43" xfId="0" applyFont="1" applyBorder="1" applyAlignment="1" applyProtection="1">
      <alignment wrapText="1"/>
      <protection locked="0"/>
    </xf>
    <xf numFmtId="2" fontId="2" fillId="2" borderId="40" xfId="0" applyNumberFormat="1" applyFont="1" applyFill="1" applyBorder="1" applyAlignment="1">
      <alignment horizontal="center" vertical="center"/>
    </xf>
    <xf numFmtId="2" fontId="2" fillId="2" borderId="53" xfId="0" applyNumberFormat="1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2" fontId="2" fillId="2" borderId="36" xfId="0" applyNumberFormat="1" applyFont="1" applyFill="1" applyBorder="1" applyAlignment="1">
      <alignment horizontal="center" vertical="center"/>
    </xf>
    <xf numFmtId="2" fontId="2" fillId="2" borderId="36" xfId="0" applyNumberFormat="1" applyFont="1" applyFill="1" applyBorder="1" applyAlignment="1" applyProtection="1">
      <alignment horizontal="center" vertical="center"/>
      <protection locked="0"/>
    </xf>
    <xf numFmtId="2" fontId="2" fillId="2" borderId="53" xfId="0" applyNumberFormat="1" applyFont="1" applyFill="1" applyBorder="1" applyAlignment="1" applyProtection="1">
      <alignment horizontal="center" vertical="center"/>
      <protection locked="0"/>
    </xf>
    <xf numFmtId="2" fontId="2" fillId="2" borderId="17" xfId="0" applyNumberFormat="1" applyFont="1" applyFill="1" applyBorder="1" applyAlignment="1" applyProtection="1">
      <alignment horizontal="center" vertical="center"/>
      <protection locked="0"/>
    </xf>
    <xf numFmtId="2" fontId="9" fillId="0" borderId="29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8" fillId="0" borderId="2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2" fontId="2" fillId="2" borderId="40" xfId="0" applyNumberFormat="1" applyFont="1" applyFill="1" applyBorder="1" applyAlignment="1" applyProtection="1">
      <alignment horizontal="center" vertical="center"/>
      <protection locked="0"/>
    </xf>
    <xf numFmtId="0" fontId="14" fillId="0" borderId="5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14" fontId="16" fillId="0" borderId="23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0" xfId="0" applyFont="1"/>
    <xf numFmtId="0" fontId="16" fillId="0" borderId="23" xfId="0" applyFont="1" applyBorder="1" applyAlignment="1">
      <alignment horizontal="left" vertical="center"/>
    </xf>
    <xf numFmtId="20" fontId="4" fillId="0" borderId="43" xfId="0" applyNumberFormat="1" applyFont="1" applyBorder="1" applyAlignment="1" applyProtection="1">
      <alignment wrapText="1"/>
      <protection locked="0"/>
    </xf>
    <xf numFmtId="2" fontId="2" fillId="2" borderId="52" xfId="0" applyNumberFormat="1" applyFont="1" applyFill="1" applyBorder="1" applyAlignment="1" applyProtection="1">
      <alignment horizontal="center"/>
      <protection locked="0"/>
    </xf>
    <xf numFmtId="2" fontId="2" fillId="2" borderId="18" xfId="0" applyNumberFormat="1" applyFont="1" applyFill="1" applyBorder="1" applyAlignment="1" applyProtection="1">
      <alignment horizontal="center"/>
      <protection locked="0"/>
    </xf>
    <xf numFmtId="0" fontId="14" fillId="0" borderId="3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9" fillId="0" borderId="35" xfId="0" applyFont="1" applyBorder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16" fillId="0" borderId="62" xfId="0" applyFont="1" applyBorder="1" applyAlignment="1">
      <alignment horizontal="left" vertical="center"/>
    </xf>
    <xf numFmtId="14" fontId="12" fillId="0" borderId="62" xfId="0" applyNumberFormat="1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FF"/>
      <color rgb="FFCCFF33"/>
      <color rgb="FF00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</xdr:colOff>
      <xdr:row>0</xdr:row>
      <xdr:rowOff>66675</xdr:rowOff>
    </xdr:from>
    <xdr:to>
      <xdr:col>7</xdr:col>
      <xdr:colOff>142874</xdr:colOff>
      <xdr:row>2</xdr:row>
      <xdr:rowOff>131149</xdr:rowOff>
    </xdr:to>
    <xdr:pic>
      <xdr:nvPicPr>
        <xdr:cNvPr id="3" name="Picture 7" descr="ProjectService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20954</xdr:colOff>
      <xdr:row>0</xdr:row>
      <xdr:rowOff>66675</xdr:rowOff>
    </xdr:from>
    <xdr:to>
      <xdr:col>7</xdr:col>
      <xdr:colOff>142874</xdr:colOff>
      <xdr:row>2</xdr:row>
      <xdr:rowOff>131149</xdr:rowOff>
    </xdr:to>
    <xdr:pic>
      <xdr:nvPicPr>
        <xdr:cNvPr id="4" name="Picture 7" descr="ProjectService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20954</xdr:colOff>
      <xdr:row>35</xdr:row>
      <xdr:rowOff>66675</xdr:rowOff>
    </xdr:from>
    <xdr:ext cx="1179195" cy="445474"/>
    <xdr:pic>
      <xdr:nvPicPr>
        <xdr:cNvPr id="5" name="Picture 7" descr="ProjectService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35</xdr:row>
      <xdr:rowOff>66675</xdr:rowOff>
    </xdr:from>
    <xdr:ext cx="1179195" cy="445474"/>
    <xdr:pic>
      <xdr:nvPicPr>
        <xdr:cNvPr id="6" name="Picture 7" descr="ProjectServiceLogo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70</xdr:row>
      <xdr:rowOff>66675</xdr:rowOff>
    </xdr:from>
    <xdr:ext cx="1179195" cy="445474"/>
    <xdr:pic>
      <xdr:nvPicPr>
        <xdr:cNvPr id="7" name="Picture 7" descr="ProjectServiceLogo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70</xdr:row>
      <xdr:rowOff>66675</xdr:rowOff>
    </xdr:from>
    <xdr:ext cx="1179195" cy="445474"/>
    <xdr:pic>
      <xdr:nvPicPr>
        <xdr:cNvPr id="8" name="Picture 7" descr="ProjectServiceLogo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666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105</xdr:row>
      <xdr:rowOff>66675</xdr:rowOff>
    </xdr:from>
    <xdr:ext cx="1179195" cy="445474"/>
    <xdr:pic>
      <xdr:nvPicPr>
        <xdr:cNvPr id="9" name="Picture 7" descr="ProjectServiceLogo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32492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105</xdr:row>
      <xdr:rowOff>66675</xdr:rowOff>
    </xdr:from>
    <xdr:ext cx="1179195" cy="445474"/>
    <xdr:pic>
      <xdr:nvPicPr>
        <xdr:cNvPr id="10" name="Picture 9" descr="ProjectServiceLogo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32492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140</xdr:row>
      <xdr:rowOff>66675</xdr:rowOff>
    </xdr:from>
    <xdr:ext cx="1179195" cy="445474"/>
    <xdr:pic>
      <xdr:nvPicPr>
        <xdr:cNvPr id="11" name="Picture 7" descr="ProjectServiceLogo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98405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140</xdr:row>
      <xdr:rowOff>66675</xdr:rowOff>
    </xdr:from>
    <xdr:ext cx="1179195" cy="445474"/>
    <xdr:pic>
      <xdr:nvPicPr>
        <xdr:cNvPr id="12" name="Picture 11" descr="ProjectServiceLogo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198405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175</xdr:row>
      <xdr:rowOff>66675</xdr:rowOff>
    </xdr:from>
    <xdr:ext cx="1179195" cy="445474"/>
    <xdr:pic>
      <xdr:nvPicPr>
        <xdr:cNvPr id="13" name="Picture 7" descr="ProjectServiceLogo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264318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175</xdr:row>
      <xdr:rowOff>66675</xdr:rowOff>
    </xdr:from>
    <xdr:ext cx="1179195" cy="445474"/>
    <xdr:pic>
      <xdr:nvPicPr>
        <xdr:cNvPr id="14" name="Picture 13" descr="ProjectServiceLogo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264318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210</xdr:row>
      <xdr:rowOff>66675</xdr:rowOff>
    </xdr:from>
    <xdr:ext cx="1179195" cy="445474"/>
    <xdr:pic>
      <xdr:nvPicPr>
        <xdr:cNvPr id="15" name="Picture 7" descr="ProjectServiceLogo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330231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</xdr:col>
      <xdr:colOff>20954</xdr:colOff>
      <xdr:row>210</xdr:row>
      <xdr:rowOff>66675</xdr:rowOff>
    </xdr:from>
    <xdr:ext cx="1179195" cy="445474"/>
    <xdr:pic>
      <xdr:nvPicPr>
        <xdr:cNvPr id="16" name="Picture 15" descr="ProjectServiceLogo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5054" y="33023175"/>
          <a:ext cx="1179195" cy="445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6600FF"/>
      </a:dk2>
      <a:lt2>
        <a:srgbClr val="3333CC"/>
      </a:lt2>
      <a:accent1>
        <a:srgbClr val="990099"/>
      </a:accent1>
      <a:accent2>
        <a:srgbClr val="6666FF"/>
      </a:accent2>
      <a:accent3>
        <a:srgbClr val="0BD0D9"/>
      </a:accent3>
      <a:accent4>
        <a:srgbClr val="DBF5F9"/>
      </a:accent4>
      <a:accent5>
        <a:srgbClr val="00FF00"/>
      </a:accent5>
      <a:accent6>
        <a:srgbClr val="FF0066"/>
      </a:accent6>
      <a:hlink>
        <a:srgbClr val="6600FF"/>
      </a:hlink>
      <a:folHlink>
        <a:srgbClr val="85DFD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ns0:dimension ref="A1:U335"/>
  <ns0:sheetViews>
    <ns0:sheetView showGridLines="0" tabSelected="1" showWhiteSpace="0" zoomScaleNormal="100" zoomScaleSheetLayoutView="100" workbookViewId="0">
      <ns0:selection activeCell="C290" sqref="C290:T290"/>
    </ns0:sheetView>
  </ns0:sheetViews>
  <ns0:sheetFormatPr defaultColWidth="9.33203125" defaultRowHeight="13.2" ns3:dyDescent="0.25"/>
  <ns0:cols>
    <ns0:col min="1" max="1" width="11.33203125" customWidth="1"/>
    <ns0:col min="2" max="2" width="11.33203125" style="55" customWidth="1"/>
    <ns0:col min="3" max="3" width="7.33203125" customWidth="1"/>
    <ns0:col min="4" max="17" width="5.33203125" customWidth="1"/>
    <ns0:col min="18" max="18" width="9.6640625" customWidth="1"/>
    <ns0:col min="19" max="19" width="6.44140625" bestFit="1" customWidth="1"/>
    <ns0:col min="20" max="20" width="10.33203125" bestFit="1" customWidth="1"/>
    <ns0:col min="21" max="21" width="18.5546875" customWidth="1"/>
  </ns0:cols>
  <ns0:sheetData>
    <ns0:row r="1" spans="1:20" s="1" customFormat="1" ht="15" customHeight="1" ns3:dyDescent="0.25">
      <ns0:c r="A1" s="8"/>
      <ns0:c r="B1" s="2"/>
      <ns0:c r="C1" s="3"/>
      <ns0:c r="D1" s="3"/>
      <ns0:c r="E1" s="3"/>
      <ns0:c r="F1" s="3"/>
      <ns0:c r="G1" s="3"/>
      <ns0:c r="H1" s="3"/>
      <ns0:c r="I1" s="9"/>
      <ns0:c r="J1" s="4"/>
      <ns0:c r="K1" s="4" t="s">
        <ns0:v>0</ns0:v>
      </ns0:c>
      <ns0:c r="L1" s="84" t="s">
        <ns0:v>49</ns0:v>
      </ns0:c>
      <ns0:c r="M1" s="84"/>
      <ns0:c r="N1" s="84"/>
      <ns0:c r="O1" s="84"/>
      <ns0:c r="P1" s="84"/>
      <ns0:c r="Q1" s="3"/>
      <ns0:c r="R1" s="3"/>
      <ns0:c r="S1" s="3"/>
      <ns0:c r="T1" s="15"/>
    </ns0:row>
    <ns0:row r="2" spans="1:20" s="1" customFormat="1" ht="15" customHeight="1" ns3:dyDescent="0.3">
      <ns0:c r="A2" s="10" t="s">
        <ns0:v>51</ns0:v>
      </ns0:c>
      <ns0:c r="B2" s="11"/>
      <ns0:c r="C2" s="6"/>
      <ns0:c r="D2" s="6"/>
      <ns0:c r="E2" s="6"/>
      <ns0:c r="F2" s="6"/>
      <ns0:c r="G2" s="6"/>
      <ns0:c r="H2" s="6"/>
      <ns0:c r="I2" s="6"/>
      <ns0:c r="J2" s="5"/>
      <ns0:c r="K2" s="5" t="s">
        <ns0:v>1</ns0:v>
      </ns0:c>
      <ns0:c r="L2" s="85" t="s">
        <ns0:v>54</ns0:v>
      </ns0:c>
      <ns0:c r="M2" s="85"/>
      <ns0:c r="N2" s="85"/>
      <ns0:c r="O2" s="85"/>
      <ns0:c r="P2" s="85"/>
      <ns0:c r="Q2" s="6" t="s">
        <ns0:v>2</ns0:v>
      </ns0:c>
      <ns0:c r="R2" s="16"/>
      <ns0:c r="S2" s="86">
        <ns0:v>46116</ns0:v>
      </ns0:c>
      <ns0:c r="T2" s="87"/>
    </ns0:row>
    <ns0:row r="3" spans="1:20" s="1" customFormat="1" ht="13.5" customHeight="1" thickBot="1" ns3:dyDescent="0.35">
      <ns0:c r="A3" s="12"/>
      <ns0:c r="B3" s="88"/>
      <ns0:c r="C3" s="88"/>
      <ns0:c r="D3" s="88"/>
      <ns0:c r="E3" s="88"/>
      <ns0:c r="F3" s="88"/>
      <ns0:c r="G3" s="88"/>
      <ns0:c r="H3" s="13"/>
      <ns0:c r="I3" s="14"/>
      <ns0:c r="J3" s="14"/>
      <ns0:c r="K3" s="14" t="s">
        <ns0:v>3</ns0:v>
      </ns0:c>
      <ns0:c r="L3" s="89" t="s">
        <ns0:v>50</ns0:v>
      </ns0:c>
      <ns0:c r="M3" s="89"/>
      <ns0:c r="N3" s="89"/>
      <ns0:c r="O3" s="89"/>
      <ns0:c r="P3" s="89"/>
      <ns0:c r="Q3" s="90"/>
      <ns0:c r="R3" s="90"/>
      <ns0:c r="S3" s="90"/>
      <ns0:c r="T3" s="91"/>
    </ns0:row>
    <ns0:row r="4" spans="1:20" s="1" customFormat="1" ht="13.2" customHeight="1" thickBot="1" ns3:dyDescent="0.3">
      <ns0:c r="A4" s="206"/>
      <ns0:c r="B4" s="207"/>
      <ns0:c r="C4" s="208"/>
      <ns0:c r="D4" s="136" t="s">
        <ns0:v>4</ns0:v>
      </ns0:c>
      <ns0:c r="E4" s="137"/>
      <ns0:c r="F4" s="137"/>
      <ns0:c r="G4" s="137"/>
      <ns0:c r="H4" s="137"/>
      <ns0:c r="I4" s="137"/>
      <ns0:c r="J4" s="137"/>
      <ns0:c r="K4" s="137"/>
      <ns0:c r="L4" s="137"/>
      <ns0:c r="M4" s="137"/>
      <ns0:c r="N4" s="137"/>
      <ns0:c r="O4" s="137"/>
      <ns0:c r="P4" s="137"/>
      <ns0:c r="Q4" s="138"/>
      <ns0:c r="R4" s="17"/>
      <ns0:c r="S4" s="18"/>
      <ns0:c r="T4" s="18"/>
    </ns0:row>
    <ns0:row r="5" spans="1:20" s="1" customFormat="1" ht="13.2" customHeight="1" thickBot="1" ns3:dyDescent="0.3">
      <ns0:c r="A5" s="209"/>
      <ns0:c r="B5" s="210"/>
      <ns0:c r="C5" s="211"/>
      <ns0:c r="D5" s="102">
        <ns0:f t="shared" ref="D5" si="0">F5-1</ns0:f>
        <ns0:v>46110</ns0:v>
      </ns0:c>
      <ns0:c r="E5" s="104"/>
      <ns0:c r="F5" s="102">
        <ns0:f t="shared" ref="F5" si="1">H5-1</ns0:f>
        <ns0:v>46111</ns0:v>
      </ns0:c>
      <ns0:c r="G5" s="104"/>
      <ns0:c r="H5" s="102">
        <ns0:f t="shared" ref="H5" si="2">J5-1</ns0:f>
        <ns0:v>46112</ns0:v>
      </ns0:c>
      <ns0:c r="I5" s="104"/>
      <ns0:c r="J5" s="102">
        <ns0:f t="shared" ref="J5" si="3">L5-1</ns0:f>
        <ns0:v>46113</ns0:v>
      </ns0:c>
      <ns0:c r="K5" s="104"/>
      <ns0:c r="L5" s="102">
        <ns0:f t="shared" ref="L5" si="4">N5-1</ns0:f>
        <ns0:v>46114</ns0:v>
      </ns0:c>
      <ns0:c r="M5" s="104"/>
      <ns0:c r="N5" s="102">
        <ns0:f>P5-1</ns0:f>
        <ns0:v>46115</ns0:v>
      </ns0:c>
      <ns0:c r="O5" s="104"/>
      <ns0:c r="P5" s="102">
        <ns0:f>S2</ns0:f>
        <ns0:v>46116</ns0:v>
      </ns0:c>
      <ns0:c r="Q5" s="103"/>
      <ns0:c r="R5" s="19" t="s">
        <ns0:v>5</ns0:v>
      </ns0:c>
      <ns0:c r="S5" s="7"/>
      <ns0:c r="T5" s="7"/>
    </ns0:row>
    <ns0:row r="6" spans="1:20" s="1" customFormat="1" ht="15" customHeight="1" ns3:dyDescent="0.25">
      <ns0:c r="A6" s="161" t="s">
        <ns0:v>6</ns0:v>
      </ns0:c>
      <ns0:c r="B6" s="162"/>
      <ns0:c r="C6" s="158" t="s">
        <ns0:v>7</ns0:v>
      </ns0:c>
      <ns0:c r="D6" s="100" t="s">
        <ns0:v>69</ns0:v>
      </ns0:c>
      <ns0:c r="E6" s="101"/>
      <ns0:c r="F6" s="100">
        <ns0:v>0.25</ns0:v>
      </ns0:c>
      <ns0:c r="G6" s="101"/>
      <ns0:c r="H6" s="100">
        <ns0:v>0.25</ns0:v>
      </ns0:c>
      <ns0:c r="I6" s="101"/>
      <ns0:c r="J6" s="100">
        <ns0:v>0.25</ns0:v>
      </ns0:c>
      <ns0:c r="K6" s="101"/>
      <ns0:c r="L6" s="100">
        <ns0:v>0.25</ns0:v>
      </ns0:c>
      <ns0:c r="M6" s="101"/>
      <ns0:c r="N6" s="100">
        <ns0:v>0.25</ns0:v>
      </ns0:c>
      <ns0:c r="O6" s="101"/>
      <ns0:c r="P6" s="100" t="s">
        <ns0:v>69</ns0:v>
      </ns0:c>
      <ns0:c r="Q6" s="101"/>
      <ns0:c r="R6" s="174">
        <ns0:f>SUM(D8:P8)</ns0:f>
        <ns0:v>40</ns0:v>
      </ns0:c>
      <ns0:c r="S6" s="20" t="s">
        <ns0:v>8</ns0:v>
      </ns0:c>
    </ns0:row>
    <ns0:row r="7" spans="1:20" s="1" customFormat="1" ht="15" customHeight="1" ns3:dyDescent="0.2">
      <ns0:c r="A7" s="106" t="s">
        <ns0:v>42</ns0:v>
      </ns0:c>
      <ns0:c r="B7" s="107"/>
      <ns0:c r="C7" s="156"/>
      <ns0:c r="D7" s="92"/>
      <ns0:c r="E7" s="93"/>
      <ns0:c r="F7" s="92">
        <ns0:v>0.58333333333333337</ns0:v>
      </ns0:c>
      <ns0:c r="G7" s="93"/>
      <ns0:c r="H7" s="92">
        <ns0:v>0.58333333333333337</ns0:v>
      </ns0:c>
      <ns0:c r="I7" s="93"/>
      <ns0:c r="J7" s="92">
        <ns0:v>0.58333333333333337</ns0:v>
      </ns0:c>
      <ns0:c r="K7" s="93"/>
      <ns0:c r="L7" s="92">
        <ns0:v>0.58333333333333337</ns0:v>
      </ns0:c>
      <ns0:c r="M7" s="93"/>
      <ns0:c r="N7" s="92">
        <ns0:v>0.58333333333333337</ns0:v>
      </ns0:c>
      <ns0:c r="O7" s="93"/>
      <ns0:c r="P7" s="92"/>
      <ns0:c r="Q7" s="93"/>
      <ns0:c r="R7" s="175"/>
      <ns0:c r="S7" s="21" t="s">
        <ns0:v>9</ns0:v>
      </ns0:c>
    </ns0:row>
    <ns0:row r="8" spans="1:20" s="1" customFormat="1" ht="15" customHeight="1" ns3:dyDescent="0.25">
      <ns0:c r="A8" s="22" t="s">
        <ns0:v>10</ns0:v>
      </ns0:c>
      <ns0:c r="B8" s="23" t="s">
        <ns0:v>11</ns0:v>
      </ns0:c>
      <ns0:c r="C8" s="157"/>
      <ns0:c r="D8" s="94"/>
      <ns0:c r="E8" s="95"/>
      <ns0:c r="F8" s="94">
        <ns0:v>8</ns0:v>
      </ns0:c>
      <ns0:c r="G8" s="95"/>
      <ns0:c r="H8" s="94">
        <ns0:v>8</ns0:v>
      </ns0:c>
      <ns0:c r="I8" s="95"/>
      <ns0:c r="J8" s="94">
        <ns0:v>8</ns0:v>
      </ns0:c>
      <ns0:c r="K8" s="95"/>
      <ns0:c r="L8" s="94">
        <ns0:v>8</ns0:v>
      </ns0:c>
      <ns0:c r="M8" s="95"/>
      <ns0:c r="N8" s="94">
        <ns0:f t="shared" ref="N8" si="5">IF((OR(N7="",N6="")),0,IF((N7&lt;N6),((N7-N6)*24)+24,(N7-N6)*24))</ns0:f>
        <ns0:v>8</ns0:v>
      </ns0:c>
      <ns0:c r="O8" s="95"/>
      <ns0:c r="P8" s="94">
        <ns0:f t="shared" ref="P8" si="6">IF((OR(P7="",P6="")),0,IF((P7&lt;P6),((P7-P6)*24)+24,(P7-P6)*24))</ns0:f>
        <ns0:v>0</ns0:v>
      </ns0:c>
      <ns0:c r="Q8" s="95"/>
      <ns0:c r="R8" s="176"/>
      <ns0:c r="S8" s="24" t="s">
        <ns0:v>12</ns0:v>
      </ns0:c>
    </ns0:row>
    <ns0:row r="9" spans="1:20" s="1" customFormat="1" ht="15" customHeight="1" ns3:dyDescent="0.25">
      <ns0:c r="A9" s="57" t="s">
        <ns0:v>13</ns0:v>
      </ns0:c>
      <ns0:c r="B9" s="58" t="s">
        <ns0:v>14</ns0:v>
      </ns0:c>
      <ns0:c r="C9" s="155" t="s">
        <ns0:v>15</ns0:v>
      </ns0:c>
      <ns0:c r="D9" s="100"/>
      <ns0:c r="E9" s="101"/>
      <ns0:c r="F9" s="92"/>
      <ns0:c r="G9" s="93"/>
      <ns0:c r="H9" s="92"/>
      <ns0:c r="I9" s="93"/>
      <ns0:c r="J9" s="92"/>
      <ns0:c r="K9" s="93"/>
      <ns0:c r="L9" s="100"/>
      <ns0:c r="M9" s="101"/>
      <ns0:c r="N9" s="92"/>
      <ns0:c r="O9" s="93"/>
      <ns0:c r="P9" s="92"/>
      <ns0:c r="Q9" s="93"/>
      <ns0:c r="R9" s="177">
        <ns0:f>SUM(D11:P11)</ns0:f>
        <ns0:v>0</ns0:v>
      </ns0:c>
      <ns0:c r="S9" s="25" t="s">
        <ns0:v>8</ns0:v>
      </ns0:c>
    </ns0:row>
    <ns0:row r="10" spans="1:20" s="1" customFormat="1" ht="15" customHeight="1" ns3:dyDescent="0.25">
      <ns0:c r="A10" s="143" t="s">
        <ns0:v>16</ns0:v>
      </ns0:c>
      <ns0:c r="B10" s="144"/>
      <ns0:c r="C10" s="156"/>
      <ns0:c r="D10" s="92"/>
      <ns0:c r="E10" s="93"/>
      <ns0:c r="F10" s="92"/>
      <ns0:c r="G10" s="93"/>
      <ns0:c r="H10" s="92"/>
      <ns0:c r="I10" s="93"/>
      <ns0:c r="J10" s="92"/>
      <ns0:c r="K10" s="93"/>
      <ns0:c r="L10" s="92"/>
      <ns0:c r="M10" s="93"/>
      <ns0:c r="N10" s="92"/>
      <ns0:c r="O10" s="93"/>
      <ns0:c r="P10" s="92"/>
      <ns0:c r="Q10" s="93"/>
      <ns0:c r="R10" s="175"/>
      <ns0:c r="S10" s="25" t="s">
        <ns0:v>9</ns0:v>
      </ns0:c>
    </ns0:row>
    <ns0:row r="11" spans="1:20" s="1" customFormat="1" ht="15" customHeight="1" ns3:dyDescent="0.25">
      <ns0:c r="A11" s="141"/>
      <ns0:c r="B11" s="150"/>
      <ns0:c r="C11" s="157"/>
      <ns0:c r="D11" s="94">
        <ns0:f>IF((OR(D10="",D9="")),0,IF((D10&lt;D9),((D10-D9)*24)+24,(D10-D9)*24))</ns0:f>
        <ns0:v>0</ns0:v>
      </ns0:c>
      <ns0:c r="E11" s="95"/>
      <ns0:c r="F11" s="94">
        <ns0:f t="shared" ref="F11" si="7">IF((OR(F10="",F9="")),0,IF((F10&lt;F9),((F10-F9)*24)+24,(F10-F9)*24))</ns0:f>
        <ns0:v>0</ns0:v>
      </ns0:c>
      <ns0:c r="G11" s="95"/>
      <ns0:c r="H11" s="94">
        <ns0:f t="shared" ref="H11" si="8">IF((OR(H10="",H9="")),0,IF((H10&lt;H9),((H10-H9)*24)+24,(H10-H9)*24))</ns0:f>
        <ns0:v>0</ns0:v>
      </ns0:c>
      <ns0:c r="I11" s="95"/>
      <ns0:c r="J11" s="94">
        <ns0:f t="shared" ref="J11" si="9">IF((OR(J10="",J9="")),0,IF((J10&lt;J9),((J10-J9)*24)+24,(J10-J9)*24))</ns0:f>
        <ns0:v>0</ns0:v>
      </ns0:c>
      <ns0:c r="K11" s="95"/>
      <ns0:c r="L11" s="94">
        <ns0:f t="shared" ref="L11" si="10">IF((OR(L10="",L9="")),0,IF((L10&lt;L9),((L10-L9)*24)+24,(L10-L9)*24))</ns0:f>
        <ns0:v>0</ns0:v>
      </ns0:c>
      <ns0:c r="M11" s="95"/>
      <ns0:c r="N11" s="94">
        <ns0:f t="shared" ref="N11" si="11">IF((OR(N10="",N9="")),0,IF((N10&lt;N9),((N10-N9)*24)+24,(N10-N9)*24))</ns0:f>
        <ns0:v>0</ns0:v>
      </ns0:c>
      <ns0:c r="O11" s="95"/>
      <ns0:c r="P11" s="94">
        <ns0:f t="shared" ref="P11" si="12">IF((OR(P10="",P9="")),0,IF((P10&lt;P9),((P10-P9)*24)+24,(P10-P9)*24))</ns0:f>
        <ns0:v>0</ns0:v>
      </ns0:c>
      <ns0:c r="Q11" s="95"/>
      <ns0:c r="R11" s="176"/>
      <ns0:c r="S11" s="24" t="s">
        <ns0:v>12</ns0:v>
      </ns0:c>
    </ns0:row>
    <ns0:row r="12" spans="1:20" s="1" customFormat="1" ht="15" customHeight="1" ns3:dyDescent="0.25">
      <ns0:c r="A12" s="159"/>
      <ns0:c r="B12" s="160"/>
      <ns0:c r="C12" s="155" t="s">
        <ns0:v>17</ns0:v>
      </ns0:c>
      <ns0:c r="D12" s="92"/>
      <ns0:c r="E12" s="93"/>
      <ns0:c r="F12" s="92"/>
      <ns0:c r="G12" s="93"/>
      <ns0:c r="H12" s="92"/>
      <ns0:c r="I12" s="93"/>
      <ns0:c r="J12" s="92"/>
      <ns0:c r="K12" s="93"/>
      <ns0:c r="L12" s="92"/>
      <ns0:c r="M12" s="93"/>
      <ns0:c r="N12" s="92"/>
      <ns0:c r="O12" s="93"/>
      <ns0:c r="P12" s="92"/>
      <ns0:c r="Q12" s="93"/>
      <ns0:c r="R12" s="177">
        <ns0:f>SUM(D14:P14)</ns0:f>
        <ns0:v>0</ns0:v>
      </ns0:c>
      <ns0:c r="S12" s="25" t="s">
        <ns0:v>8</ns0:v>
      </ns0:c>
    </ns0:row>
    <ns0:row r="13" spans="1:20" s="1" customFormat="1" ht="15" customHeight="1" ns3:dyDescent="0.25">
      <ns0:c r="A13" s="141"/>
      <ns0:c r="B13" s="142"/>
      <ns0:c r="C13" s="156"/>
      <ns0:c r="D13" s="92"/>
      <ns0:c r="E13" s="93"/>
      <ns0:c r="F13" s="92"/>
      <ns0:c r="G13" s="93"/>
      <ns0:c r="H13" s="92"/>
      <ns0:c r="I13" s="93"/>
      <ns0:c r="J13" s="92"/>
      <ns0:c r="K13" s="93"/>
      <ns0:c r="L13" s="92"/>
      <ns0:c r="M13" s="93"/>
      <ns0:c r="N13" s="92"/>
      <ns0:c r="O13" s="93"/>
      <ns0:c r="P13" s="92"/>
      <ns0:c r="Q13" s="93"/>
      <ns0:c r="R13" s="175"/>
      <ns0:c r="S13" s="25" t="s">
        <ns0:v>9</ns0:v>
      </ns0:c>
    </ns0:row>
    <ns0:row r="14" spans="1:20" s="1" customFormat="1" ht="15" customHeight="1" thickBot="1" ns3:dyDescent="0.3">
      <ns0:c r="A14" s="148"/>
      <ns0:c r="B14" s="149"/>
      <ns0:c r="C14" s="157"/>
      <ns0:c r="D14" s="94"/>
      <ns0:c r="E14" s="95"/>
      <ns0:c r="F14" s="94"/>
      <ns0:c r="G14" s="95"/>
      <ns0:c r="H14" s="94"/>
      <ns0:c r="I14" s="95"/>
      <ns0:c r="J14" s="94"/>
      <ns0:c r="K14" s="95"/>
      <ns0:c r="L14" s="94"/>
      <ns0:c r="M14" s="95"/>
      <ns0:c r="N14" s="94"/>
      <ns0:c r="O14" s="95"/>
      <ns0:c r="P14" s="94"/>
      <ns0:c r="Q14" s="95"/>
      <ns0:c r="R14" s="176"/>
      <ns0:c r="S14" s="27" t="s">
        <ns0:v>12</ns0:v>
      </ns0:c>
    </ns0:row>
    <ns0:row r="15" spans="1:20" s="1" customFormat="1" ht="15" customHeight="1" thickBot="1" ns3:dyDescent="0.3">
      <ns0:c r="A15" s="145" t="s">
        <ns0:v>18</ns0:v>
      </ns0:c>
      <ns0:c r="B15" s="146"/>
      <ns0:c r="C15" s="147"/>
      <ns0:c r="D15" s="96">
        <ns0:f>D14+D11+D8</ns0:f>
        <ns0:v>0</ns0:v>
      </ns0:c>
      <ns0:c r="E15" s="97"/>
      <ns0:c r="F15" s="96">
        <ns0:f>F14+F11+F8</ns0:f>
        <ns0:v>8</ns0:v>
      </ns0:c>
      <ns0:c r="G15" s="97"/>
      <ns0:c r="H15" s="96">
        <ns0:f t="shared" ref="H15:P15" si="13">H14+H11+H8</ns0:f>
        <ns0:v>8</ns0:v>
      </ns0:c>
      <ns0:c r="I15" s="97"/>
      <ns0:c r="J15" s="96">
        <ns0:f t="shared" si="13"/>
        <ns0:v>8</ns0:v>
      </ns0:c>
      <ns0:c r="K15" s="97"/>
      <ns0:c r="L15" s="96">
        <ns0:f t="shared" si="13"/>
        <ns0:v>8</ns0:v>
      </ns0:c>
      <ns0:c r="M15" s="97"/>
      <ns0:c r="N15" s="96">
        <ns0:f t="shared" si="13"/>
        <ns0:v>8</ns0:v>
      </ns0:c>
      <ns0:c r="O15" s="97"/>
      <ns0:c r="P15" s="96">
        <ns0:f t="shared" si="13"/>
        <ns0:v>0</ns0:v>
      </ns0:c>
      <ns0:c r="Q15" s="97"/>
      <ns0:c r="R15" s="28">
        <ns0:f>R12+R9+R6</ns0:f>
        <ns0:v>40</ns0:v>
      </ns0:c>
      <ns0:c r="S15" s="29" t="s">
        <ns0:v>12</ns0:v>
      </ns0:c>
    </ns0:row>
    <ns0:row r="16" spans="1:20" s="1" customFormat="1" ht="15" customHeight="1" ns3:dyDescent="0.25">
      <ns0:c r="A16" s="161" t="s">
        <ns0:v>6</ns0:v>
      </ns0:c>
      <ns0:c r="B16" s="162"/>
      <ns0:c r="C16" s="158" t="s">
        <ns0:v>7</ns0:v>
      </ns0:c>
      <ns0:c r="D16" s="100">
        <ns0:v>0.25</ns0:v>
      </ns0:c>
      <ns0:c r="E16" s="101"/>
      <ns0:c r="F16" s="100">
        <ns0:v>0.25</ns0:v>
      </ns0:c>
      <ns0:c r="G16" s="101"/>
      <ns0:c r="H16" s="100">
        <ns0:v>0.25</ns0:v>
      </ns0:c>
      <ns0:c r="I16" s="101"/>
      <ns0:c r="J16" s="100">
        <ns0:v>0.25</ns0:v>
      </ns0:c>
      <ns0:c r="K16" s="101"/>
      <ns0:c r="L16" s="100" t="s">
        <ns0:v>69</ns0:v>
      </ns0:c>
      <ns0:c r="M16" s="101"/>
      <ns0:c r="N16" s="100" t="s">
        <ns0:v>69</ns0:v>
      </ns0:c>
      <ns0:c r="O16" s="101"/>
      <ns0:c r="P16" s="100">
        <ns0:v>0.25</ns0:v>
      </ns0:c>
      <ns0:c r="Q16" s="101"/>
      <ns0:c r="R16" s="174">
        <ns0:f>SUM(D18:P18)</ns0:f>
        <ns0:v>40</ns0:v>
      </ns0:c>
      <ns0:c r="S16" s="20" t="s">
        <ns0:v>8</ns0:v>
      </ns0:c>
    </ns0:row>
    <ns0:row r="17" spans="1:19" s="1" customFormat="1" ht="15" customHeight="1" ns3:dyDescent="0.2">
      <ns0:c r="A17" s="106" t="s">
        <ns0:v>45</ns0:v>
      </ns0:c>
      <ns0:c r="B17" s="107"/>
      <ns0:c r="C17" s="156"/>
      <ns0:c r="D17" s="92">
        <ns0:v>0.58333333333333337</ns0:v>
      </ns0:c>
      <ns0:c r="E17" s="93"/>
      <ns0:c r="F17" s="92">
        <ns0:v>0.58333333333333337</ns0:v>
      </ns0:c>
      <ns0:c r="G17" s="93"/>
      <ns0:c r="H17" s="92">
        <ns0:v>0.58333333333333337</ns0:v>
      </ns0:c>
      <ns0:c r="I17" s="93"/>
      <ns0:c r="J17" s="92">
        <ns0:v>0.58333333333333337</ns0:v>
      </ns0:c>
      <ns0:c r="K17" s="93"/>
      <ns0:c r="L17" s="92"/>
      <ns0:c r="M17" s="93"/>
      <ns0:c r="N17" s="92"/>
      <ns0:c r="O17" s="93"/>
      <ns0:c r="P17" s="92">
        <ns0:v>0.58333333333333337</ns0:v>
      </ns0:c>
      <ns0:c r="Q17" s="93"/>
      <ns0:c r="R17" s="175"/>
      <ns0:c r="S17" s="21" t="s">
        <ns0:v>9</ns0:v>
      </ns0:c>
    </ns0:row>
    <ns0:row r="18" spans="1:19" s="1" customFormat="1" ht="15" customHeight="1" ns3:dyDescent="0.25">
      <ns0:c r="A18" s="22" t="s">
        <ns0:v>10</ns0:v>
      </ns0:c>
      <ns0:c r="B18" s="23" t="s">
        <ns0:v>11</ns0:v>
      </ns0:c>
      <ns0:c r="C18" s="157"/>
      <ns0:c r="D18" s="94">
        <ns0:f t="shared" ref="D18:J18" si="14">IF((OR(D17="",D16="")),0,IF((D17&lt;D16),((D17-D16)*24)+24,(D17-D16)*24))</ns0:f>
        <ns0:v>8</ns0:v>
      </ns0:c>
      <ns0:c r="E18" s="95"/>
      <ns0:c r="F18" s="94">
        <ns0:f t="shared" si="14"/>
        <ns0:v>8</ns0:v>
      </ns0:c>
      <ns0:c r="G18" s="95"/>
      <ns0:c r="H18" s="94">
        <ns0:f t="shared" si="14"/>
        <ns0:v>8</ns0:v>
      </ns0:c>
      <ns0:c r="I18" s="95"/>
      <ns0:c r="J18" s="94">
        <ns0:f t="shared" si="14"/>
        <ns0:v>8</ns0:v>
      </ns0:c>
      <ns0:c r="K18" s="95"/>
      <ns0:c r="L18" s="94">
        <ns0:f t="shared" ref="L18" si="15">IF((OR(L17="",L16="")),0,IF((L17&lt;L16),((L17-L16)*24)+24,(L17-L16)*24))</ns0:f>
        <ns0:v>0</ns0:v>
      </ns0:c>
      <ns0:c r="M18" s="95"/>
      <ns0:c r="N18" s="94">
        <ns0:f t="shared" ref="N18" si="16">IF((OR(N17="",N16="")),0,IF((N17&lt;N16),((N17-N16)*24)+24,(N17-N16)*24))</ns0:f>
        <ns0:v>0</ns0:v>
      </ns0:c>
      <ns0:c r="O18" s="95"/>
      <ns0:c r="P18" s="94">
        <ns0:f t="shared" ref="P18" si="17">IF((OR(P17="",P16="")),0,IF((P17&lt;P16),((P17-P16)*24)+24,(P17-P16)*24))</ns0:f>
        <ns0:v>8</ns0:v>
      </ns0:c>
      <ns0:c r="Q18" s="95"/>
      <ns0:c r="R18" s="176"/>
      <ns0:c r="S18" s="24" t="s">
        <ns0:v>12</ns0:v>
      </ns0:c>
    </ns0:row>
    <ns0:row r="19" spans="1:19" s="1" customFormat="1" ht="15" customHeight="1" ns3:dyDescent="0.25">
      <ns0:c r="A19" s="57" t="s">
        <ns0:v>19</ns0:v>
      </ns0:c>
      <ns0:c r="B19" s="58" t="s">
        <ns0:v>53</ns0:v>
      </ns0:c>
      <ns0:c r="C19" s="155" t="s">
        <ns0:v>15</ns0:v>
      </ns0:c>
      <ns0:c r="D19" s="100"/>
      <ns0:c r="E19" s="101"/>
      <ns0:c r="F19" s="92"/>
      <ns0:c r="G19" s="93"/>
      <ns0:c r="H19" s="92"/>
      <ns0:c r="I19" s="93"/>
      <ns0:c r="J19" s="92"/>
      <ns0:c r="K19" s="93"/>
      <ns0:c r="L19" s="100"/>
      <ns0:c r="M19" s="101"/>
      <ns0:c r="N19" s="92"/>
      <ns0:c r="O19" s="93"/>
      <ns0:c r="P19" s="92"/>
      <ns0:c r="Q19" s="93"/>
      <ns0:c r="R19" s="177">
        <ns0:f>SUM(D21:P21)</ns0:f>
        <ns0:v>0</ns0:v>
      </ns0:c>
      <ns0:c r="S19" s="25" t="s">
        <ns0:v>8</ns0:v>
      </ns0:c>
    </ns0:row>
    <ns0:row r="20" spans="1:19" s="1" customFormat="1" ht="15" customHeight="1" ns3:dyDescent="0.25">
      <ns0:c r="A20" s="143" t="s">
        <ns0:v>16</ns0:v>
      </ns0:c>
      <ns0:c r="B20" s="144"/>
      <ns0:c r="C20" s="156"/>
      <ns0:c r="D20" s="92"/>
      <ns0:c r="E20" s="93"/>
      <ns0:c r="F20" s="92"/>
      <ns0:c r="G20" s="93"/>
      <ns0:c r="H20" s="92"/>
      <ns0:c r="I20" s="93"/>
      <ns0:c r="J20" s="92"/>
      <ns0:c r="K20" s="93"/>
      <ns0:c r="L20" s="92"/>
      <ns0:c r="M20" s="93"/>
      <ns0:c r="N20" s="92"/>
      <ns0:c r="O20" s="93"/>
      <ns0:c r="P20" s="92"/>
      <ns0:c r="Q20" s="93"/>
      <ns0:c r="R20" s="175"/>
      <ns0:c r="S20" s="25" t="s">
        <ns0:v>9</ns0:v>
      </ns0:c>
    </ns0:row>
    <ns0:row r="21" spans="1:19" s="1" customFormat="1" ht="15" customHeight="1" ns3:dyDescent="0.25">
      <ns0:c r="A21" s="141" t="s">
        <ns0:v>92</ns0:v>
      </ns0:c>
      <ns0:c r="B21" s="150"/>
      <ns0:c r="C21" s="157"/>
      <ns0:c r="D21" s="94">
        <ns0:f>IF((OR(D20="",D19="")),0,IF((D20&lt;D19),((D20-D19)*24)+24,(D20-D19)*24))</ns0:f>
        <ns0:v>0</ns0:v>
      </ns0:c>
      <ns0:c r="E21" s="95"/>
      <ns0:c r="F21" s="94">
        <ns0:f t="shared" ref="F21" si="18">IF((OR(F20="",F19="")),0,IF((F20&lt;F19),((F20-F19)*24)+24,(F20-F19)*24))</ns0:f>
        <ns0:v>0</ns0:v>
      </ns0:c>
      <ns0:c r="G21" s="95"/>
      <ns0:c r="H21" s="94">
        <ns0:f t="shared" ref="H21" si="19">IF((OR(H20="",H19="")),0,IF((H20&lt;H19),((H20-H19)*24)+24,(H20-H19)*24))</ns0:f>
        <ns0:v>0</ns0:v>
      </ns0:c>
      <ns0:c r="I21" s="95"/>
      <ns0:c r="J21" s="94">
        <ns0:f t="shared" ref="J21" si="20">IF((OR(J20="",J19="")),0,IF((J20&lt;J19),((J20-J19)*24)+24,(J20-J19)*24))</ns0:f>
        <ns0:v>0</ns0:v>
      </ns0:c>
      <ns0:c r="K21" s="95"/>
      <ns0:c r="L21" s="94">
        <ns0:f t="shared" ref="L21" si="21">IF((OR(L20="",L19="")),0,IF((L20&lt;L19),((L20-L19)*24)+24,(L20-L19)*24))</ns0:f>
        <ns0:v>0</ns0:v>
      </ns0:c>
      <ns0:c r="M21" s="95"/>
      <ns0:c r="N21" s="94">
        <ns0:f t="shared" ref="N21" si="22">IF((OR(N20="",N19="")),0,IF((N20&lt;N19),((N20-N19)*24)+24,(N20-N19)*24))</ns0:f>
        <ns0:v>0</ns0:v>
      </ns0:c>
      <ns0:c r="O21" s="95"/>
      <ns0:c r="P21" s="94">
        <ns0:f t="shared" ref="P21" si="23">IF((OR(P20="",P19="")),0,IF((P20&lt;P19),((P20-P19)*24)+24,(P20-P19)*24))</ns0:f>
        <ns0:v>0</ns0:v>
      </ns0:c>
      <ns0:c r="Q21" s="95"/>
      <ns0:c r="R21" s="176"/>
      <ns0:c r="S21" s="24" t="s">
        <ns0:v>12</ns0:v>
      </ns0:c>
    </ns0:row>
    <ns0:row r="22" spans="1:19" s="1" customFormat="1" ht="15" customHeight="1" ns3:dyDescent="0.25">
      <ns0:c r="A22" s="159" t="s">
        <ns0:v>93</ns0:v>
      </ns0:c>
      <ns0:c r="B22" s="160"/>
      <ns0:c r="C22" s="155" t="s">
        <ns0:v>17</ns0:v>
      </ns0:c>
      <ns0:c r="D22" s="92"/>
      <ns0:c r="E22" s="93"/>
      <ns0:c r="F22" s="92"/>
      <ns0:c r="G22" s="93"/>
      <ns0:c r="H22" s="92"/>
      <ns0:c r="I22" s="93"/>
      <ns0:c r="J22" s="92"/>
      <ns0:c r="K22" s="93"/>
      <ns0:c r="L22" s="92"/>
      <ns0:c r="M22" s="93"/>
      <ns0:c r="N22" s="92"/>
      <ns0:c r="O22" s="93"/>
      <ns0:c r="P22" s="92"/>
      <ns0:c r="Q22" s="93"/>
      <ns0:c r="R22" s="177">
        <ns0:f>SUM(D24:P24)</ns0:f>
        <ns0:v>0</ns0:v>
      </ns0:c>
      <ns0:c r="S22" s="25" t="s">
        <ns0:v>8</ns0:v>
      </ns0:c>
    </ns0:row>
    <ns0:row r="23" spans="1:19" s="1" customFormat="1" ht="15" customHeight="1" ns3:dyDescent="0.25">
      <ns0:c r="A23" s="141"/>
      <ns0:c r="B23" s="142"/>
      <ns0:c r="C23" s="156"/>
      <ns0:c r="D23" s="92"/>
      <ns0:c r="E23" s="93"/>
      <ns0:c r="F23" s="92"/>
      <ns0:c r="G23" s="93"/>
      <ns0:c r="H23" s="92"/>
      <ns0:c r="I23" s="93"/>
      <ns0:c r="J23" s="92"/>
      <ns0:c r="K23" s="93"/>
      <ns0:c r="L23" s="92"/>
      <ns0:c r="M23" s="93"/>
      <ns0:c r="N23" s="92"/>
      <ns0:c r="O23" s="93"/>
      <ns0:c r="P23" s="92"/>
      <ns0:c r="Q23" s="93"/>
      <ns0:c r="R23" s="175"/>
      <ns0:c r="S23" s="25" t="s">
        <ns0:v>9</ns0:v>
      </ns0:c>
    </ns0:row>
    <ns0:row r="24" spans="1:19" s="1" customFormat="1" ht="15" customHeight="1" thickBot="1" ns3:dyDescent="0.3">
      <ns0:c r="A24" s="148"/>
      <ns0:c r="B24" s="149"/>
      <ns0:c r="C24" s="157"/>
      <ns0:c r="D24" s="94">
        <ns0:f>IF((OR(D23="",D22="")),0,IF((D23&lt;D22),((D23-D22)*24)+24,(D23-D22)*24))</ns0:f>
        <ns0:v>0</ns0:v>
      </ns0:c>
      <ns0:c r="E24" s="95"/>
      <ns0:c r="F24" s="94">
        <ns0:f t="shared" ref="F24" si="24">IF((OR(F23="",F22="")),0,IF((F23&lt;F22),((F23-F22)*24)+24,(F23-F22)*24))</ns0:f>
        <ns0:v>0</ns0:v>
      </ns0:c>
      <ns0:c r="G24" s="95"/>
      <ns0:c r="H24" s="94">
        <ns0:f t="shared" ref="H24" si="25">IF((OR(H23="",H22="")),0,IF((H23&lt;H22),((H23-H22)*24)+24,(H23-H22)*24))</ns0:f>
        <ns0:v>0</ns0:v>
      </ns0:c>
      <ns0:c r="I24" s="95"/>
      <ns0:c r="J24" s="94">
        <ns0:f t="shared" ref="J24" si="26">IF((OR(J23="",J22="")),0,IF((J23&lt;J22),((J23-J22)*24)+24,(J23-J22)*24))</ns0:f>
        <ns0:v>0</ns0:v>
      </ns0:c>
      <ns0:c r="K24" s="95"/>
      <ns0:c r="L24" s="94">
        <ns0:f>IF((OR(L23="",L22="")),0,IF((L23&lt;L22),((L23-L22)*24)+24,(L23-L22)*24))</ns0:f>
        <ns0:v>0</ns0:v>
      </ns0:c>
      <ns0:c r="M24" s="95"/>
      <ns0:c r="N24" s="94">
        <ns0:f t="shared" ref="N24" si="27">IF((OR(N23="",N22="")),0,IF((N23&lt;N22),((N23-N22)*24)+24,(N23-N22)*24))</ns0:f>
        <ns0:v>0</ns0:v>
      </ns0:c>
      <ns0:c r="O24" s="95"/>
      <ns0:c r="P24" s="94">
        <ns0:f t="shared" ref="P24" si="28">IF((OR(P23="",P22="")),0,IF((P23&lt;P22),((P23-P22)*24)+24,(P23-P22)*24))</ns0:f>
        <ns0:v>0</ns0:v>
      </ns0:c>
      <ns0:c r="Q24" s="95"/>
      <ns0:c r="R24" s="176"/>
      <ns0:c r="S24" s="27" t="s">
        <ns0:v>12</ns0:v>
      </ns0:c>
    </ns0:row>
    <ns0:row r="25" spans="1:19" s="1" customFormat="1" ht="15" customHeight="1" thickBot="1" ns3:dyDescent="0.3">
      <ns0:c r="A25" s="145" t="s">
        <ns0:v>18</ns0:v>
      </ns0:c>
      <ns0:c r="B25" s="146"/>
      <ns0:c r="C25" s="147"/>
      <ns0:c r="D25" s="96">
        <ns0:f>D24+D21+D18</ns0:f>
        <ns0:v>8</ns0:v>
      </ns0:c>
      <ns0:c r="E25" s="97"/>
      <ns0:c r="F25" s="96">
        <ns0:f>F24+F21+F18</ns0:f>
        <ns0:v>8</ns0:v>
      </ns0:c>
      <ns0:c r="G25" s="97"/>
      <ns0:c r="H25" s="96">
        <ns0:f t="shared" ref="H25" si="29">H24+H21+H18</ns0:f>
        <ns0:v>8</ns0:v>
      </ns0:c>
      <ns0:c r="I25" s="97"/>
      <ns0:c r="J25" s="96">
        <ns0:f t="shared" ref="J25" si="30">J24+J21+J18</ns0:f>
        <ns0:v>8</ns0:v>
      </ns0:c>
      <ns0:c r="K25" s="97"/>
      <ns0:c r="L25" s="96">
        <ns0:f t="shared" ref="L25" si="31">L24+L21+L18</ns0:f>
        <ns0:v>0</ns0:v>
      </ns0:c>
      <ns0:c r="M25" s="97"/>
      <ns0:c r="N25" s="96">
        <ns0:f t="shared" ref="N25" si="32">N24+N21+N18</ns0:f>
        <ns0:v>0</ns0:v>
      </ns0:c>
      <ns0:c r="O25" s="97"/>
      <ns0:c r="P25" s="96">
        <ns0:f t="shared" ref="P25" si="33">P24+P21+P18</ns0:f>
        <ns0:v>8</ns0:v>
      </ns0:c>
      <ns0:c r="Q25" s="97"/>
      <ns0:c r="R25" s="28">
        <ns0:f>R22+R19+R16</ns0:f>
        <ns0:v>40</ns0:v>
      </ns0:c>
      <ns0:c r="S25" s="29" t="s">
        <ns0:v>12</ns0:v>
      </ns0:c>
    </ns0:row>
    <ns0:row r="26" spans="1:19" s="1" customFormat="1" ht="15" customHeight="1" ns3:dyDescent="0.25">
      <ns0:c r="A26" s="161" t="s">
        <ns0:v>6</ns0:v>
      </ns0:c>
      <ns0:c r="B26" s="162"/>
      <ns0:c r="C26" s="158" t="s">
        <ns0:v>7</ns0:v>
      </ns0:c>
      <ns0:c r="D26" s="98">
        <ns0:v>0.58333333333333337</ns0:v>
      </ns0:c>
      <ns0:c r="E26" s="99"/>
      <ns0:c r="F26" s="100">
        <ns0:v>0.58333333333333337</ns0:v>
      </ns0:c>
      <ns0:c r="G26" s="101"/>
      <ns0:c r="H26" s="100">
        <ns0:v>0.58333333333333337</ns0:v>
      </ns0:c>
      <ns0:c r="I26" s="101"/>
      <ns0:c r="J26" s="100" t="s">
        <ns0:v>69</ns0:v>
      </ns0:c>
      <ns0:c r="K26" s="101"/>
      <ns0:c r="L26" s="100">
        <ns0:v>0.58333333333333337</ns0:v>
      </ns0:c>
      <ns0:c r="M26" s="101"/>
      <ns0:c r="N26" s="98">
        <ns0:v>0.41666666666666669</ns0:v>
      </ns0:c>
      <ns0:c r="O26" s="99"/>
      <ns0:c r="P26" s="98"/>
      <ns0:c r="Q26" s="99"/>
      <ns0:c r="R26" s="174">
        <ns0:f>SUM(D28:P28)</ns0:f>
        <ns0:v>39.999999999999993</ns0:v>
      </ns0:c>
      <ns0:c r="S26" s="20" t="s">
        <ns0:v>8</ns0:v>
      </ns0:c>
    </ns0:row>
    <ns0:row r="27" spans="1:19" s="1" customFormat="1" ht="15" customHeight="1" ns3:dyDescent="0.2">
      <ns0:c r="A27" s="106" t="s">
        <ns0:v>43</ns0:v>
      </ns0:c>
      <ns0:c r="B27" s="107"/>
      <ns0:c r="C27" s="156"/>
      <ns0:c r="D27" s="92">
        <ns0:v>0.91666666666666663</ns0:v>
      </ns0:c>
      <ns0:c r="E27" s="93"/>
      <ns0:c r="F27" s="92">
        <ns0:v>0.91666666666666663</ns0:v>
      </ns0:c>
      <ns0:c r="G27" s="93"/>
      <ns0:c r="H27" s="92">
        <ns0:v>0.91666666666666663</ns0:v>
      </ns0:c>
      <ns0:c r="I27" s="93"/>
      <ns0:c r="J27" s="92"/>
      <ns0:c r="K27" s="93"/>
      <ns0:c r="L27" s="92">
        <ns0:v>0.91666666666666663</ns0:v>
      </ns0:c>
      <ns0:c r="M27" s="93"/>
      <ns0:c r="N27" s="92">
        <ns0:v>0.75</ns0:v>
      </ns0:c>
      <ns0:c r="O27" s="93"/>
      <ns0:c r="P27" s="92"/>
      <ns0:c r="Q27" s="93"/>
      <ns0:c r="R27" s="175"/>
      <ns0:c r="S27" s="21" t="s">
        <ns0:v>9</ns0:v>
      </ns0:c>
    </ns0:row>
    <ns0:row r="28" spans="1:19" s="1" customFormat="1" ht="15" customHeight="1" ns3:dyDescent="0.25">
      <ns0:c r="A28" s="22" t="s">
        <ns0:v>10</ns0:v>
      </ns0:c>
      <ns0:c r="B28" s="23" t="s">
        <ns0:v>11</ns0:v>
      </ns0:c>
      <ns0:c r="C28" s="157"/>
      <ns0:c r="D28" s="94">
        <ns0:f t="shared" ref="D28:F28" si="34">IF((OR(D27="",D26="")),0,IF((D27&lt;D26),((D27-D26)*24)+24,(D27-D26)*24))</ns0:f>
        <ns0:v>7.9999999999999982</ns0:v>
      </ns0:c>
      <ns0:c r="E28" s="95"/>
      <ns0:c r="F28" s="94">
        <ns0:f t="shared" si="34"/>
        <ns0:v>7.9999999999999982</ns0:v>
      </ns0:c>
      <ns0:c r="G28" s="95"/>
      <ns0:c r="H28" s="94">
        <ns0:f t="shared" ref="H28" si="35">IF((OR(H27="",H26="")),0,IF((H27&lt;H26),((H27-H26)*24)+24,(H27-H26)*24))</ns0:f>
        <ns0:v>7.9999999999999982</ns0:v>
      </ns0:c>
      <ns0:c r="I28" s="95"/>
      <ns0:c r="J28" s="94">
        <ns0:f t="shared" ref="J28" si="36">IF((OR(J27="",J26="")),0,IF((J27&lt;J26),((J27-J26)*24)+24,(J27-J26)*24))</ns0:f>
        <ns0:v>0</ns0:v>
      </ns0:c>
      <ns0:c r="K28" s="95"/>
      <ns0:c r="L28" s="94">
        <ns0:f t="shared" ref="L28" si="37">IF((OR(L27="",L26="")),0,IF((L27&lt;L26),((L27-L26)*24)+24,(L27-L26)*24))</ns0:f>
        <ns0:v>7.9999999999999982</ns0:v>
      </ns0:c>
      <ns0:c r="M28" s="95"/>
      <ns0:c r="N28" s="94">
        <ns0:f t="shared" ref="N28" si="38">IF((OR(N27="",N26="")),0,IF((N27&lt;N26),((N27-N26)*24)+24,(N27-N26)*24))</ns0:f>
        <ns0:v>8</ns0:v>
      </ns0:c>
      <ns0:c r="O28" s="95"/>
      <ns0:c r="P28" s="94">
        <ns0:f t="shared" ref="P28" si="39">IF((OR(P27="",P26="")),0,IF((P27&lt;P26),((P27-P26)*24)+24,(P27-P26)*24))</ns0:f>
        <ns0:v>0</ns0:v>
      </ns0:c>
      <ns0:c r="Q28" s="95"/>
      <ns0:c r="R28" s="176"/>
      <ns0:c r="S28" s="24" t="s">
        <ns0:v>12</ns0:v>
      </ns0:c>
    </ns0:row>
    <ns0:row r="29" spans="1:19" s="1" customFormat="1" ht="15" customHeight="1" ns3:dyDescent="0.25">
      <ns0:c r="A29" s="57" t="s">
        <ns0:v>44</ns0:v>
      </ns0:c>
      <ns0:c r="B29" s="58" t="s">
        <ns0:v>14</ns0:v>
      </ns0:c>
      <ns0:c r="C29" s="155" t="s">
        <ns0:v>15</ns0:v>
      </ns0:c>
      <ns0:c r="D29" s="100"/>
      <ns0:c r="E29" s="101"/>
      <ns0:c r="F29" s="92"/>
      <ns0:c r="G29" s="93"/>
      <ns0:c r="H29" s="92"/>
      <ns0:c r="I29" s="93"/>
      <ns0:c r="J29" s="92"/>
      <ns0:c r="K29" s="93"/>
      <ns0:c r="L29" s="100"/>
      <ns0:c r="M29" s="101"/>
      <ns0:c r="N29" s="92">
        <ns0:v>0.75</ns0:v>
      </ns0:c>
      <ns0:c r="O29" s="93"/>
      <ns0:c r="P29" s="92">
        <ns0:v>0.58333333333333337</ns0:v>
      </ns0:c>
      <ns0:c r="Q29" s="93"/>
      <ns0:c r="R29" s="177">
        <ns0:f>SUM(D31:P31)</ns0:f>
        <ns0:v>11.999999999999996</ns0:v>
      </ns0:c>
      <ns0:c r="S29" s="25" t="s">
        <ns0:v>8</ns0:v>
      </ns0:c>
    </ns0:row>
    <ns0:row r="30" spans="1:19" s="1" customFormat="1" ht="15" customHeight="1" ns3:dyDescent="0.25">
      <ns0:c r="A30" s="143" t="s">
        <ns0:v>16</ns0:v>
      </ns0:c>
      <ns0:c r="B30" s="144"/>
      <ns0:c r="C30" s="156"/>
      <ns0:c r="D30" s="92"/>
      <ns0:c r="E30" s="93"/>
      <ns0:c r="F30" s="92"/>
      <ns0:c r="G30" s="93"/>
      <ns0:c r="H30" s="92"/>
      <ns0:c r="I30" s="93"/>
      <ns0:c r="J30" s="92"/>
      <ns0:c r="K30" s="93"/>
      <ns0:c r="L30" s="92"/>
      <ns0:c r="M30" s="93"/>
      <ns0:c r="N30" s="92">
        <ns0:v>0.91666666666666663</ns0:v>
      </ns0:c>
      <ns0:c r="O30" s="93"/>
      <ns0:c r="P30" s="92">
        <ns0:v>0.91666666666666663</ns0:v>
      </ns0:c>
      <ns0:c r="Q30" s="93"/>
      <ns0:c r="R30" s="175"/>
      <ns0:c r="S30" s="25" t="s">
        <ns0:v>9</ns0:v>
      </ns0:c>
    </ns0:row>
    <ns0:row r="31" spans="1:19" s="1" customFormat="1" ht="15" customHeight="1" ns3:dyDescent="0.25">
      <ns0:c r="A31" s="151" t="s">
        <ns0:v>70</ns0:v>
      </ns0:c>
      <ns0:c r="B31" s="150"/>
      <ns0:c r="C31" s="157"/>
      <ns0:c r="D31" s="94">
        <ns0:f>IF((OR(D30="",D29="")),0,IF((D30&lt;D29),((D30-D29)*24)+24,(D30-D29)*24))</ns0:f>
        <ns0:v>0</ns0:v>
      </ns0:c>
      <ns0:c r="E31" s="95"/>
      <ns0:c r="F31" s="94">
        <ns0:f t="shared" ref="F31" si="40">IF((OR(F30="",F29="")),0,IF((F30&lt;F29),((F30-F29)*24)+24,(F30-F29)*24))</ns0:f>
        <ns0:v>0</ns0:v>
      </ns0:c>
      <ns0:c r="G31" s="95"/>
      <ns0:c r="H31" s="94">
        <ns0:f t="shared" ref="H31" si="41">IF((OR(H30="",H29="")),0,IF((H30&lt;H29),((H30-H29)*24)+24,(H30-H29)*24))</ns0:f>
        <ns0:v>0</ns0:v>
      </ns0:c>
      <ns0:c r="I31" s="95"/>
      <ns0:c r="J31" s="94">
        <ns0:f t="shared" ref="J31" si="42">IF((OR(J30="",J29="")),0,IF((J30&lt;J29),((J30-J29)*24)+24,(J30-J29)*24))</ns0:f>
        <ns0:v>0</ns0:v>
      </ns0:c>
      <ns0:c r="K31" s="95"/>
      <ns0:c r="L31" s="94">
        <ns0:f t="shared" ref="L31" si="43">IF((OR(L30="",L29="")),0,IF((L30&lt;L29),((L30-L29)*24)+24,(L30-L29)*24))</ns0:f>
        <ns0:v>0</ns0:v>
      </ns0:c>
      <ns0:c r="M31" s="95"/>
      <ns0:c r="N31" s="94">
        <ns0:f t="shared" ref="N31" si="44">IF((OR(N30="",N29="")),0,IF((N30&lt;N29),((N30-N29)*24)+24,(N30-N29)*24))</ns0:f>
        <ns0:v>3.9999999999999991</ns0:v>
      </ns0:c>
      <ns0:c r="O31" s="95"/>
      <ns0:c r="P31" s="94">
        <ns0:f t="shared" ref="P31" si="45">IF((OR(P30="",P29="")),0,IF((P30&lt;P29),((P30-P29)*24)+24,(P30-P29)*24))</ns0:f>
        <ns0:v>7.9999999999999982</ns0:v>
      </ns0:c>
      <ns0:c r="Q31" s="95"/>
      <ns0:c r="R31" s="176"/>
      <ns0:c r="S31" s="24" t="s">
        <ns0:v>12</ns0:v>
      </ns0:c>
    </ns0:row>
    <ns0:row r="32" spans="1:19" s="1" customFormat="1" ht="15" customHeight="1" ns3:dyDescent="0.25">
      <ns0:c r="A32" s="159"/>
      <ns0:c r="B32" s="160"/>
      <ns0:c r="C32" s="155" t="s">
        <ns0:v>17</ns0:v>
      </ns0:c>
      <ns0:c r="D32" s="92"/>
      <ns0:c r="E32" s="93"/>
      <ns0:c r="F32" s="92"/>
      <ns0:c r="G32" s="93"/>
      <ns0:c r="H32" s="92"/>
      <ns0:c r="I32" s="93"/>
      <ns0:c r="J32" s="92"/>
      <ns0:c r="K32" s="93"/>
      <ns0:c r="L32" s="92"/>
      <ns0:c r="M32" s="93"/>
      <ns0:c r="N32" s="92"/>
      <ns0:c r="O32" s="93"/>
      <ns0:c r="P32" s="92"/>
      <ns0:c r="Q32" s="93"/>
      <ns0:c r="R32" s="177">
        <ns0:f>SUM(D34:P34)</ns0:f>
        <ns0:v>0</ns0:v>
      </ns0:c>
      <ns0:c r="S32" s="25" t="s">
        <ns0:v>8</ns0:v>
      </ns0:c>
    </ns0:row>
    <ns0:row r="33" spans="1:20" s="1" customFormat="1" ht="15" customHeight="1" ns3:dyDescent="0.25">
      <ns0:c r="A33" s="141"/>
      <ns0:c r="B33" s="142"/>
      <ns0:c r="C33" s="156"/>
      <ns0:c r="D33" s="92"/>
      <ns0:c r="E33" s="93"/>
      <ns0:c r="F33" s="92"/>
      <ns0:c r="G33" s="93"/>
      <ns0:c r="H33" s="92"/>
      <ns0:c r="I33" s="93"/>
      <ns0:c r="J33" s="92"/>
      <ns0:c r="K33" s="93"/>
      <ns0:c r="L33" s="92"/>
      <ns0:c r="M33" s="93"/>
      <ns0:c r="N33" s="92"/>
      <ns0:c r="O33" s="93"/>
      <ns0:c r="P33" s="92"/>
      <ns0:c r="Q33" s="93"/>
      <ns0:c r="R33" s="175"/>
      <ns0:c r="S33" s="25" t="s">
        <ns0:v>9</ns0:v>
      </ns0:c>
    </ns0:row>
    <ns0:row r="34" spans="1:20" s="1" customFormat="1" ht="15" customHeight="1" thickBot="1" ns3:dyDescent="0.3">
      <ns0:c r="A34" s="148"/>
      <ns0:c r="B34" s="149"/>
      <ns0:c r="C34" s="157"/>
      <ns0:c r="D34" s="94">
        <ns0:f>IF((OR(D33="",D32="")),0,IF((D33&lt;D32),((D33-D32)*24)+24,(D33-D32)*24))</ns0:f>
        <ns0:v>0</ns0:v>
      </ns0:c>
      <ns0:c r="E34" s="95"/>
      <ns0:c r="F34" s="94">
        <ns0:f>IF((OR(F33="",F32="")),0,IF((F33&lt;F32),((F33-F32)*24)+24,(F33-F32)*24))</ns0:f>
        <ns0:v>0</ns0:v>
      </ns0:c>
      <ns0:c r="G34" s="95"/>
      <ns0:c r="H34" s="94">
        <ns0:f>IF((OR(H33="",H32="")),0,IF((H33&lt;H32),((H33-H32)*24)+24,(H33-H32)*24))</ns0:f>
        <ns0:v>0</ns0:v>
      </ns0:c>
      <ns0:c r="I34" s="95"/>
      <ns0:c r="J34" s="94">
        <ns0:f>IF((OR(J33="",J32="")),0,IF((J33&lt;J32),((J33-J32)*24)+24,(J33-J32)*24))</ns0:f>
        <ns0:v>0</ns0:v>
      </ns0:c>
      <ns0:c r="K34" s="95"/>
      <ns0:c r="L34" s="94">
        <ns0:f>IF((OR(L33="",L32="")),0,IF((L33&lt;L32),((L33-L32)*24)+24,(L33-L32)*24))</ns0:f>
        <ns0:v>0</ns0:v>
      </ns0:c>
      <ns0:c r="M34" s="95"/>
      <ns0:c r="N34" s="94">
        <ns0:f t="shared" ref="N34" si="46">IF((OR(N33="",N32="")),0,IF((N33&lt;N32),((N33-N32)*24)+24,(N33-N32)*24))</ns0:f>
        <ns0:v>0</ns0:v>
      </ns0:c>
      <ns0:c r="O34" s="95"/>
      <ns0:c r="P34" s="94">
        <ns0:f t="shared" ref="P34" si="47">IF((OR(P33="",P32="")),0,IF((P33&lt;P32),((P33-P32)*24)+24,(P33-P32)*24))</ns0:f>
        <ns0:v>0</ns0:v>
      </ns0:c>
      <ns0:c r="Q34" s="95"/>
      <ns0:c r="R34" s="176"/>
      <ns0:c r="S34" s="27" t="s">
        <ns0:v>12</ns0:v>
      </ns0:c>
    </ns0:row>
    <ns0:row r="35" spans="1:20" s="1" customFormat="1" ht="15" customHeight="1" thickBot="1" ns3:dyDescent="0.3">
      <ns0:c r="A35" s="145" t="s">
        <ns0:v>18</ns0:v>
      </ns0:c>
      <ns0:c r="B35" s="146"/>
      <ns0:c r="C35" s="147"/>
      <ns0:c r="D35" s="96">
        <ns0:f>D34+D31+D28</ns0:f>
        <ns0:v>7.9999999999999982</ns0:v>
      </ns0:c>
      <ns0:c r="E35" s="97"/>
      <ns0:c r="F35" s="96">
        <ns0:f>F34+F31+F28</ns0:f>
        <ns0:v>7.9999999999999982</ns0:v>
      </ns0:c>
      <ns0:c r="G35" s="97"/>
      <ns0:c r="H35" s="96">
        <ns0:f t="shared" ref="H35" si="48">H34+H31+H28</ns0:f>
        <ns0:v>7.9999999999999982</ns0:v>
      </ns0:c>
      <ns0:c r="I35" s="97"/>
      <ns0:c r="J35" s="96">
        <ns0:f t="shared" ref="J35" si="49">J34+J31+J28</ns0:f>
        <ns0:v>0</ns0:v>
      </ns0:c>
      <ns0:c r="K35" s="97"/>
      <ns0:c r="L35" s="96">
        <ns0:f t="shared" ref="L35" si="50">L34+L31+L28</ns0:f>
        <ns0:v>7.9999999999999982</ns0:v>
      </ns0:c>
      <ns0:c r="M35" s="97"/>
      <ns0:c r="N35" s="96">
        <ns0:f t="shared" ref="N35" si="51">N34+N31+N28</ns0:f>
        <ns0:v>12</ns0:v>
      </ns0:c>
      <ns0:c r="O35" s="97"/>
      <ns0:c r="P35" s="96">
        <ns0:f t="shared" ref="P35" si="52">P34+P31+P28</ns0:f>
        <ns0:v>7.9999999999999982</ns0:v>
      </ns0:c>
      <ns0:c r="Q35" s="97"/>
      <ns0:c r="R35" s="28">
        <ns0:f>R32+R29+R26</ns0:f>
        <ns0:v>51.999999999999986</ns0:v>
      </ns0:c>
      <ns0:c r="S35" s="29" t="s">
        <ns0:v>12</ns0:v>
      </ns0:c>
    </ns0:row>
    <ns0:row r="36" spans="1:20" s="1" customFormat="1" ht="15" customHeight="1" ns3:dyDescent="0.25">
      <ns0:c r="A36" s="8"/>
      <ns0:c r="B36" s="2"/>
      <ns0:c r="C36" s="3"/>
      <ns0:c r="D36" s="3"/>
      <ns0:c r="E36" s="3"/>
      <ns0:c r="F36" s="3"/>
      <ns0:c r="G36" s="3"/>
      <ns0:c r="H36" s="3"/>
      <ns0:c r="I36" s="9"/>
      <ns0:c r="J36" s="4"/>
      <ns0:c r="K36" s="4" t="s">
        <ns0:v>0</ns0:v>
      </ns0:c>
      <ns0:c r="L36" s="84" t="str">
        <ns0:f>L1</ns0:f>
        <ns0:v>John Boerder</ns0:v>
      </ns0:c>
      <ns0:c r="M36" s="84"/>
      <ns0:c r="N36" s="84"/>
      <ns0:c r="O36" s="84"/>
      <ns0:c r="P36" s="84"/>
      <ns0:c r="Q36" s="3"/>
      <ns0:c r="R36" s="3"/>
      <ns0:c r="S36" s="3"/>
      <ns0:c r="T36" s="15"/>
    </ns0:row>
    <ns0:row r="37" spans="1:20" s="1" customFormat="1" ht="15" customHeight="1" ns3:dyDescent="0.3">
      <ns0:c r="A37" s="10" t="str">
        <ns0:f>A2</ns0:f>
        <ns0:v>CLIENT: PCA - Filer City, MI</ns0:v>
      </ns0:c>
      <ns0:c r="B37" s="11"/>
      <ns0:c r="C37" s="6"/>
      <ns0:c r="D37" s="6"/>
      <ns0:c r="E37" s="6"/>
      <ns0:c r="F37" s="6"/>
      <ns0:c r="G37" s="6"/>
      <ns0:c r="H37" s="6"/>
      <ns0:c r="I37" s="6"/>
      <ns0:c r="J37" s="5"/>
      <ns0:c r="K37" s="5" t="s">
        <ns0:v>1</ns0:v>
      </ns0:c>
      <ns0:c r="L37" s="85" t="str">
        <ns0:f>L2</ns0:f>
        <ns0:v>(231) 723-9951   Ext. 1331</ns0:v>
      </ns0:c>
      <ns0:c r="M37" s="85"/>
      <ns0:c r="N37" s="85"/>
      <ns0:c r="O37" s="85"/>
      <ns0:c r="P37" s="85"/>
      <ns0:c r="Q37" s="6" t="s">
        <ns0:v>2</ns0:v>
      </ns0:c>
      <ns0:c r="R37" s="16"/>
      <ns0:c r="S37" s="86">
        <ns0:f>S2</ns0:f>
        <ns0:v>46116</ns0:v>
      </ns0:c>
      <ns0:c r="T37" s="87"/>
    </ns0:row>
    <ns0:row r="38" spans="1:20" s="1" customFormat="1" ht="13.5" customHeight="1" thickBot="1" ns3:dyDescent="0.35">
      <ns0:c r="A38" s="12"/>
      <ns0:c r="B38" s="88"/>
      <ns0:c r="C38" s="88"/>
      <ns0:c r="D38" s="88"/>
      <ns0:c r="E38" s="88"/>
      <ns0:c r="F38" s="88"/>
      <ns0:c r="G38" s="88"/>
      <ns0:c r="H38" s="13"/>
      <ns0:c r="I38" s="14"/>
      <ns0:c r="J38" s="14"/>
      <ns0:c r="K38" s="14" t="s">
        <ns0:v>3</ns0:v>
      </ns0:c>
      <ns0:c r="L38" s="89" t="str">
        <ns0:f>L3</ns0:f>
        <ns0:v>(231) 388-5092</ns0:v>
      </ns0:c>
      <ns0:c r="M38" s="89"/>
      <ns0:c r="N38" s="89"/>
      <ns0:c r="O38" s="89"/>
      <ns0:c r="P38" s="89"/>
      <ns0:c r="Q38" s="90"/>
      <ns0:c r="R38" s="90"/>
      <ns0:c r="S38" s="90"/>
      <ns0:c r="T38" s="91"/>
    </ns0:row>
    <ns0:row r="39" spans="1:20" s="1" customFormat="1" ht="13.2" customHeight="1" thickBot="1" ns3:dyDescent="0.3">
      <ns0:c r="A39" s="206"/>
      <ns0:c r="B39" s="207"/>
      <ns0:c r="C39" s="208"/>
      <ns0:c r="D39" s="136" t="s">
        <ns0:v>4</ns0:v>
      </ns0:c>
      <ns0:c r="E39" s="137"/>
      <ns0:c r="F39" s="137"/>
      <ns0:c r="G39" s="137"/>
      <ns0:c r="H39" s="137"/>
      <ns0:c r="I39" s="137"/>
      <ns0:c r="J39" s="137"/>
      <ns0:c r="K39" s="137"/>
      <ns0:c r="L39" s="137"/>
      <ns0:c r="M39" s="137"/>
      <ns0:c r="N39" s="137"/>
      <ns0:c r="O39" s="137"/>
      <ns0:c r="P39" s="137"/>
      <ns0:c r="Q39" s="138"/>
      <ns0:c r="R39" s="17"/>
      <ns0:c r="S39" s="18"/>
      <ns0:c r="T39" s="18"/>
    </ns0:row>
    <ns0:row r="40" spans="1:20" s="1" customFormat="1" ht="13.2" customHeight="1" thickBot="1" ns3:dyDescent="0.3">
      <ns0:c r="A40" s="209"/>
      <ns0:c r="B40" s="210"/>
      <ns0:c r="C40" s="211"/>
      <ns0:c r="D40" s="102">
        <ns0:f>D5</ns0:f>
        <ns0:v>46110</ns0:v>
      </ns0:c>
      <ns0:c r="E40" s="104"/>
      <ns0:c r="F40" s="102">
        <ns0:f t="shared" ref="F40" si="53">F5</ns0:f>
        <ns0:v>46111</ns0:v>
      </ns0:c>
      <ns0:c r="G40" s="104"/>
      <ns0:c r="H40" s="102">
        <ns0:f t="shared" ref="H40" si="54">H5</ns0:f>
        <ns0:v>46112</ns0:v>
      </ns0:c>
      <ns0:c r="I40" s="104"/>
      <ns0:c r="J40" s="102">
        <ns0:f t="shared" ref="J40" si="55">J5</ns0:f>
        <ns0:v>46113</ns0:v>
      </ns0:c>
      <ns0:c r="K40" s="104"/>
      <ns0:c r="L40" s="102">
        <ns0:f t="shared" ref="L40" si="56">L5</ns0:f>
        <ns0:v>46114</ns0:v>
      </ns0:c>
      <ns0:c r="M40" s="104"/>
      <ns0:c r="N40" s="102">
        <ns0:f t="shared" ref="N40" si="57">N5</ns0:f>
        <ns0:v>46115</ns0:v>
      </ns0:c>
      <ns0:c r="O40" s="104"/>
      <ns0:c r="P40" s="102">
        <ns0:f t="shared" ref="P40" si="58">P5</ns0:f>
        <ns0:v>46116</ns0:v>
      </ns0:c>
      <ns0:c r="Q40" s="104"/>
      <ns0:c r="R40" s="19" t="s">
        <ns0:v>5</ns0:v>
      </ns0:c>
      <ns0:c r="S40" s="7"/>
      <ns0:c r="T40" s="7"/>
    </ns0:row>
    <ns0:row r="41" spans="1:20" s="1" customFormat="1" ht="15" customHeight="1" ns3:dyDescent="0.25">
      <ns0:c r="A41" s="161" t="s">
        <ns0:v>6</ns0:v>
      </ns0:c>
      <ns0:c r="B41" s="162"/>
      <ns0:c r="C41" s="158" t="s">
        <ns0:v>7</ns0:v>
      </ns0:c>
      <ns0:c r="D41" s="100" t="s">
        <ns0:v>71</ns0:v>
      </ns0:c>
      <ns0:c r="E41" s="101"/>
      <ns0:c r="F41" s="100">
        <ns0:v>0.91666666666666663</ns0:v>
      </ns0:c>
      <ns0:c r="G41" s="101"/>
      <ns0:c r="H41" s="100">
        <ns0:v>0.91666666666666663</ns0:v>
      </ns0:c>
      <ns0:c r="I41" s="101"/>
      <ns0:c r="J41" s="100">
        <ns0:v>0.58333333333333337</ns0:v>
      </ns0:c>
      <ns0:c r="K41" s="101"/>
      <ns0:c r="L41" s="100">
        <ns0:v>0.25</ns0:v>
      </ns0:c>
      <ns0:c r="M41" s="101"/>
      <ns0:c r="N41" s="100" t="s">
        <ns0:v>69</ns0:v>
      </ns0:c>
      <ns0:c r="O41" s="101"/>
      <ns0:c r="P41" s="100" t="s">
        <ns0:v>69</ns0:v>
      </ns0:c>
      <ns0:c r="Q41" s="101"/>
      <ns0:c r="R41" s="174">
        <ns0:f>SUM(D43:P43)</ns0:f>
        <ns0:v>32</ns0:v>
      </ns0:c>
      <ns0:c r="S41" s="20" t="s">
        <ns0:v>8</ns0:v>
      </ns0:c>
    </ns0:row>
    <ns0:row r="42" spans="1:20" s="1" customFormat="1" ht="15" customHeight="1" ns3:dyDescent="0.2">
      <ns0:c r="A42" s="106" t="s">
        <ns0:v>47</ns0:v>
      </ns0:c>
      <ns0:c r="B42" s="107"/>
      <ns0:c r="C42" s="156"/>
      <ns0:c r="D42" s="92"/>
      <ns0:c r="E42" s="93"/>
      <ns0:c r="F42" s="92">
        <ns0:v>0.25</ns0:v>
      </ns0:c>
      <ns0:c r="G42" s="93"/>
      <ns0:c r="H42" s="92">
        <ns0:v>0.25</ns0:v>
      </ns0:c>
      <ns0:c r="I42" s="93"/>
      <ns0:c r="J42" s="92">
        <ns0:v>0.91666666666666663</ns0:v>
      </ns0:c>
      <ns0:c r="K42" s="93"/>
      <ns0:c r="L42" s="92">
        <ns0:v>0.58333333333333337</ns0:v>
      </ns0:c>
      <ns0:c r="M42" s="93"/>
      <ns0:c r="N42" s="92"/>
      <ns0:c r="O42" s="93"/>
      <ns0:c r="P42" s="92"/>
      <ns0:c r="Q42" s="93"/>
      <ns0:c r="R42" s="175"/>
      <ns0:c r="S42" s="25" t="s">
        <ns0:v>9</ns0:v>
      </ns0:c>
    </ns0:row>
    <ns0:row r="43" spans="1:20" s="1" customFormat="1" ht="15" customHeight="1" ns3:dyDescent="0.25">
      <ns0:c r="A43" s="22" t="s">
        <ns0:v>10</ns0:v>
      </ns0:c>
      <ns0:c r="B43" s="23" t="s">
        <ns0:v>11</ns0:v>
      </ns0:c>
      <ns0:c r="C43" s="157"/>
      <ns0:c r="D43" s="94">
        <ns0:f t="shared" ref="D43:F43" si="59">IF((OR(D42="",D41="")),0,IF((D42&lt;D41),((D42-D41)*24)+24,(D42-D41)*24))</ns0:f>
        <ns0:v>0</ns0:v>
      </ns0:c>
      <ns0:c r="E43" s="95"/>
      <ns0:c r="F43" s="94">
        <ns0:f t="shared" si="59"/>
        <ns0:v>8</ns0:v>
      </ns0:c>
      <ns0:c r="G43" s="95"/>
      <ns0:c r="H43" s="94">
        <ns0:f t="shared" ref="H43" si="60">IF((OR(H42="",H41="")),0,IF((H42&lt;H41),((H42-H41)*24)+24,(H42-H41)*24))</ns0:f>
        <ns0:v>8</ns0:v>
      </ns0:c>
      <ns0:c r="I43" s="95"/>
      <ns0:c r="J43" s="94">
        <ns0:f t="shared" ref="J43" si="61">IF((OR(J42="",J41="")),0,IF((J42&lt;J41),((J42-J41)*24)+24,(J42-J41)*24))</ns0:f>
        <ns0:v>7.9999999999999982</ns0:v>
      </ns0:c>
      <ns0:c r="K43" s="95"/>
      <ns0:c r="L43" s="94">
        <ns0:f t="shared" ref="L43:N43" si="62">IF((OR(L42="",L41="")),0,IF((L42&lt;L41),((L42-L41)*24)+24,(L42-L41)*24))</ns0:f>
        <ns0:v>8</ns0:v>
      </ns0:c>
      <ns0:c r="M43" s="95"/>
      <ns0:c r="N43" s="94">
        <ns0:f t="shared" si="62"/>
        <ns0:v>0</ns0:v>
      </ns0:c>
      <ns0:c r="O43" s="95"/>
      <ns0:c r="P43" s="94">
        <ns0:f t="shared" ref="P43" si="63">IF((OR(P42="",P41="")),0,IF((P42&lt;P41),((P42-P41)*24)+24,(P42-P41)*24))</ns0:f>
        <ns0:v>0</ns0:v>
      </ns0:c>
      <ns0:c r="Q43" s="95"/>
      <ns0:c r="R43" s="176"/>
      <ns0:c r="S43" s="24" t="s">
        <ns0:v>12</ns0:v>
      </ns0:c>
    </ns0:row>
    <ns0:row r="44" spans="1:20" s="1" customFormat="1" ht="15" customHeight="1" ns3:dyDescent="0.25">
      <ns0:c r="A44" s="57" t="s">
        <ns0:v>64</ns0:v>
      </ns0:c>
      <ns0:c r="B44" s="58" t="s">
        <ns0:v>53</ns0:v>
      </ns0:c>
      <ns0:c r="C44" s="155" t="s">
        <ns0:v>15</ns0:v>
      </ns0:c>
      <ns0:c r="D44" s="100"/>
      <ns0:c r="E44" s="101"/>
      <ns0:c r="F44" s="92"/>
      <ns0:c r="G44" s="93"/>
      <ns0:c r="H44" s="92"/>
      <ns0:c r="I44" s="93"/>
      <ns0:c r="J44" s="92"/>
      <ns0:c r="K44" s="93"/>
      <ns0:c r="L44" s="100"/>
      <ns0:c r="M44" s="101"/>
      <ns0:c r="N44" s="92"/>
      <ns0:c r="O44" s="93"/>
      <ns0:c r="P44" s="100"/>
      <ns0:c r="Q44" s="101"/>
      <ns0:c r="R44" s="177">
        <ns0:f>SUM(D46:P46)</ns0:f>
        <ns0:v>0</ns0:v>
      </ns0:c>
      <ns0:c r="S44" s="25" t="s">
        <ns0:v>8</ns0:v>
      </ns0:c>
    </ns0:row>
    <ns0:row r="45" spans="1:20" s="1" customFormat="1" ht="15" customHeight="1" ns3:dyDescent="0.25">
      <ns0:c r="A45" s="143" t="s">
        <ns0:v>16</ns0:v>
      </ns0:c>
      <ns0:c r="B45" s="144"/>
      <ns0:c r="C45" s="156"/>
      <ns0:c r="D45" s="92"/>
      <ns0:c r="E45" s="93"/>
      <ns0:c r="F45" s="92"/>
      <ns0:c r="G45" s="93"/>
      <ns0:c r="H45" s="92"/>
      <ns0:c r="I45" s="93"/>
      <ns0:c r="J45" s="92"/>
      <ns0:c r="K45" s="93"/>
      <ns0:c r="L45" s="92"/>
      <ns0:c r="M45" s="93"/>
      <ns0:c r="N45" s="92"/>
      <ns0:c r="O45" s="93"/>
      <ns0:c r="P45" s="92"/>
      <ns0:c r="Q45" s="93"/>
      <ns0:c r="R45" s="175"/>
      <ns0:c r="S45" s="25" t="s">
        <ns0:v>9</ns0:v>
      </ns0:c>
    </ns0:row>
    <ns0:row r="46" spans="1:20" s="1" customFormat="1" ht="15" customHeight="1" ns3:dyDescent="0.25">
      <ns0:c r="A46" s="141" t="s">
        <ns0:v>73</ns0:v>
      </ns0:c>
      <ns0:c r="B46" s="150"/>
      <ns0:c r="C46" s="157"/>
      <ns0:c r="D46" s="94">
        <ns0:f>IF((OR(D45="",D44="")),0,IF((D45&lt;D44),((D45-D44)*24)+24,(D45-D44)*24))</ns0:f>
        <ns0:v>0</ns0:v>
      </ns0:c>
      <ns0:c r="E46" s="95"/>
      <ns0:c r="F46" s="94">
        <ns0:f t="shared" ref="F46" si="64">IF((OR(F45="",F44="")),0,IF((F45&lt;F44),((F45-F44)*24)+24,(F45-F44)*24))</ns0:f>
        <ns0:v>0</ns0:v>
      </ns0:c>
      <ns0:c r="G46" s="95"/>
      <ns0:c r="H46" s="94">
        <ns0:f t="shared" ref="H46" si="65">IF((OR(H45="",H44="")),0,IF((H45&lt;H44),((H45-H44)*24)+24,(H45-H44)*24))</ns0:f>
        <ns0:v>0</ns0:v>
      </ns0:c>
      <ns0:c r="I46" s="95"/>
      <ns0:c r="J46" s="94">
        <ns0:f t="shared" ref="J46" si="66">IF((OR(J45="",J44="")),0,IF((J45&lt;J44),((J45-J44)*24)+24,(J45-J44)*24))</ns0:f>
        <ns0:v>0</ns0:v>
      </ns0:c>
      <ns0:c r="K46" s="95"/>
      <ns0:c r="L46" s="94">
        <ns0:f t="shared" ref="L46" si="67">IF((OR(L45="",L44="")),0,IF((L45&lt;L44),((L45-L44)*24)+24,(L45-L44)*24))</ns0:f>
        <ns0:v>0</ns0:v>
      </ns0:c>
      <ns0:c r="M46" s="95"/>
      <ns0:c r="N46" s="94">
        <ns0:f t="shared" ref="N46" si="68">IF((OR(N45="",N44="")),0,IF((N45&lt;N44),((N45-N44)*24)+24,(N45-N44)*24))</ns0:f>
        <ns0:v>0</ns0:v>
      </ns0:c>
      <ns0:c r="O46" s="95"/>
      <ns0:c r="P46" s="94">
        <ns0:f t="shared" ref="P46" si="69">IF((OR(P45="",P44="")),0,IF((P45&lt;P44),((P45-P44)*24)+24,(P45-P44)*24))</ns0:f>
        <ns0:v>0</ns0:v>
      </ns0:c>
      <ns0:c r="Q46" s="95"/>
      <ns0:c r="R46" s="176"/>
      <ns0:c r="S46" s="24" t="s">
        <ns0:v>12</ns0:v>
      </ns0:c>
    </ns0:row>
    <ns0:row r="47" spans="1:20" s="1" customFormat="1" ht="15" customHeight="1" ns3:dyDescent="0.25">
      <ns0:c r="A47" s="159"/>
      <ns0:c r="B47" s="160"/>
      <ns0:c r="C47" s="155" t="s">
        <ns0:v>17</ns0:v>
      </ns0:c>
      <ns0:c r="D47" s="92" t="s">
        <ns0:v>71</ns0:v>
      </ns0:c>
      <ns0:c r="E47" s="93"/>
      <ns0:c r="F47" s="92"/>
      <ns0:c r="G47" s="93"/>
      <ns0:c r="H47" s="92"/>
      <ns0:c r="I47" s="93"/>
      <ns0:c r="J47" s="92"/>
      <ns0:c r="K47" s="93"/>
      <ns0:c r="L47" s="92"/>
      <ns0:c r="M47" s="93"/>
      <ns0:c r="N47" s="92"/>
      <ns0:c r="O47" s="93"/>
      <ns0:c r="P47" s="92"/>
      <ns0:c r="Q47" s="93"/>
      <ns0:c r="R47" s="177">
        <ns0:f>SUM(D49:P49)</ns0:f>
        <ns0:v>8</ns0:v>
      </ns0:c>
      <ns0:c r="S47" s="25" t="s">
        <ns0:v>8</ns0:v>
      </ns0:c>
    </ns0:row>
    <ns0:row r="48" spans="1:20" s="1" customFormat="1" ht="15" customHeight="1" ns3:dyDescent="0.25">
      <ns0:c r="A48" s="141"/>
      <ns0:c r="B48" s="142"/>
      <ns0:c r="C48" s="156"/>
      <ns0:c r="D48" s="92" t="s">
        <ns0:v>72</ns0:v>
      </ns0:c>
      <ns0:c r="E48" s="93"/>
      <ns0:c r="F48" s="92"/>
      <ns0:c r="G48" s="93"/>
      <ns0:c r="H48" s="92"/>
      <ns0:c r="I48" s="93"/>
      <ns0:c r="J48" s="92"/>
      <ns0:c r="K48" s="93"/>
      <ns0:c r="L48" s="92"/>
      <ns0:c r="M48" s="93"/>
      <ns0:c r="N48" s="92"/>
      <ns0:c r="O48" s="93"/>
      <ns0:c r="P48" s="92"/>
      <ns0:c r="Q48" s="93"/>
      <ns0:c r="R48" s="175"/>
      <ns0:c r="S48" s="25" t="s">
        <ns0:v>9</ns0:v>
      </ns0:c>
    </ns0:row>
    <ns0:row r="49" spans="1:20" s="1" customFormat="1" ht="15" customHeight="1" thickBot="1" ns3:dyDescent="0.3">
      <ns0:c r="A49" s="148"/>
      <ns0:c r="B49" s="149"/>
      <ns0:c r="C49" s="157"/>
      <ns0:c r="D49" s="94">
        <ns0:v>8</ns0:v>
      </ns0:c>
      <ns0:c r="E49" s="95"/>
      <ns0:c r="F49" s="94">
        <ns0:v>0</ns0:v>
      </ns0:c>
      <ns0:c r="G49" s="95"/>
      <ns0:c r="H49" s="94">
        <ns0:v>0</ns0:v>
      </ns0:c>
      <ns0:c r="I49" s="95"/>
      <ns0:c r="J49" s="94">
        <ns0:v>0</ns0:v>
      </ns0:c>
      <ns0:c r="K49" s="95"/>
      <ns0:c r="L49" s="94">
        <ns0:v>0</ns0:v>
      </ns0:c>
      <ns0:c r="M49" s="95"/>
      <ns0:c r="N49" s="94">
        <ns0:v>0</ns0:v>
      </ns0:c>
      <ns0:c r="O49" s="95"/>
      <ns0:c r="P49" s="94">
        <ns0:f t="shared" ref="P49" si="70">IF((OR(P48="",P47="")),0,IF((P48&lt;P47),((P48-P47)*24)+24,(P48-P47)*24))</ns0:f>
        <ns0:v>0</ns0:v>
      </ns0:c>
      <ns0:c r="Q49" s="95"/>
      <ns0:c r="R49" s="176"/>
      <ns0:c r="S49" s="27" t="s">
        <ns0:v>12</ns0:v>
      </ns0:c>
    </ns0:row>
    <ns0:row r="50" spans="1:20" s="1" customFormat="1" ht="15" customHeight="1" thickBot="1" ns3:dyDescent="0.3">
      <ns0:c r="A50" s="145" t="s">
        <ns0:v>18</ns0:v>
      </ns0:c>
      <ns0:c r="B50" s="146"/>
      <ns0:c r="C50" s="147"/>
      <ns0:c r="D50" s="96">
        <ns0:f>D49+D46+D43</ns0:f>
        <ns0:v>8</ns0:v>
      </ns0:c>
      <ns0:c r="E50" s="97"/>
      <ns0:c r="F50" s="96">
        <ns0:f>F49+F46+F43</ns0:f>
        <ns0:v>8</ns0:v>
      </ns0:c>
      <ns0:c r="G50" s="97"/>
      <ns0:c r="H50" s="96">
        <ns0:f t="shared" ref="H50" si="71">H49+H46+H43</ns0:f>
        <ns0:v>8</ns0:v>
      </ns0:c>
      <ns0:c r="I50" s="97"/>
      <ns0:c r="J50" s="96">
        <ns0:f t="shared" ref="J50" si="72">J49+J46+J43</ns0:f>
        <ns0:v>7.9999999999999982</ns0:v>
      </ns0:c>
      <ns0:c r="K50" s="97"/>
      <ns0:c r="L50" s="96">
        <ns0:f t="shared" ref="L50" si="73">L49+L46+L43</ns0:f>
        <ns0:v>8</ns0:v>
      </ns0:c>
      <ns0:c r="M50" s="97"/>
      <ns0:c r="N50" s="96">
        <ns0:f t="shared" ref="N50" si="74">N49+N46+N43</ns0:f>
        <ns0:v>0</ns0:v>
      </ns0:c>
      <ns0:c r="O50" s="97"/>
      <ns0:c r="P50" s="96">
        <ns0:f t="shared" ref="P50" si="75">P49+P46+P43</ns0:f>
        <ns0:v>0</ns0:v>
      </ns0:c>
      <ns0:c r="Q50" s="97"/>
      <ns0:c r="R50" s="30">
        <ns0:f>R47+R44+R41</ns0:f>
        <ns0:v>40</ns0:v>
      </ns0:c>
      <ns0:c r="S50" s="31" t="s">
        <ns0:v>12</ns0:v>
      </ns0:c>
    </ns0:row>
    <ns0:row r="51" spans="1:20" s="1" customFormat="1" ht="15" customHeight="1" ns3:dyDescent="0.25">
      <ns0:c r="A51" s="161" t="s">
        <ns0:v>6</ns0:v>
      </ns0:c>
      <ns0:c r="B51" s="162"/>
      <ns0:c r="C51" s="158" t="s">
        <ns0:v>7</ns0:v>
      </ns0:c>
      <ns0:c r="D51" s="100">
        <ns0:v>0.91666666666666663</ns0:v>
      </ns0:c>
      <ns0:c r="E51" s="101"/>
      <ns0:c r="F51" s="100">
        <ns0:v>0.25</ns0:v>
      </ns0:c>
      <ns0:c r="G51" s="101"/>
      <ns0:c r="H51" s="98" t="s">
        <ns0:v>69</ns0:v>
      </ns0:c>
      <ns0:c r="I51" s="99"/>
      <ns0:c r="J51" s="100">
        <ns0:v>0.91666666666666663</ns0:v>
      </ns0:c>
      <ns0:c r="K51" s="101"/>
      <ns0:c r="L51" s="100" t="s">
        <ns0:v>74</ns0:v>
      </ns0:c>
      <ns0:c r="M51" s="101"/>
      <ns0:c r="N51" s="98">
        <ns0:v>0.91666666666666663</ns0:v>
      </ns0:c>
      <ns0:c r="O51" s="99"/>
      <ns0:c r="P51" s="98"/>
      <ns0:c r="Q51" s="99"/>
      <ns0:c r="R51" s="174">
        <ns0:f>SUM(D53:P53)</ns0:f>
        <ns0:v>40</ns0:v>
      </ns0:c>
      <ns0:c r="S51" s="20" t="s">
        <ns0:v>8</ns0:v>
      </ns0:c>
    </ns0:row>
    <ns0:row r="52" spans="1:20" s="1" customFormat="1" ht="15" customHeight="1" ns3:dyDescent="0.2">
      <ns0:c r="A52" s="106" t="s">
        <ns0:v>46</ns0:v>
      </ns0:c>
      <ns0:c r="B52" s="107"/>
      <ns0:c r="C52" s="156"/>
      <ns0:c r="D52" s="92">
        <ns0:v>0.25</ns0:v>
      </ns0:c>
      <ns0:c r="E52" s="93"/>
      <ns0:c r="F52" s="92">
        <ns0:v>0.58333333333333337</ns0:v>
      </ns0:c>
      <ns0:c r="G52" s="93"/>
      <ns0:c r="H52" s="92"/>
      <ns0:c r="I52" s="93"/>
      <ns0:c r="J52" s="92">
        <ns0:v>0.25</ns0:v>
      </ns0:c>
      <ns0:c r="K52" s="93"/>
      <ns0:c r="L52" s="92" t="s">
        <ns0:v>75</ns0:v>
      </ns0:c>
      <ns0:c r="M52" s="93"/>
      <ns0:c r="N52" s="92">
        <ns0:v>8.3333333333333329E-2</ns0:v>
      </ns0:c>
      <ns0:c r="O52" s="93"/>
      <ns0:c r="P52" s="92"/>
      <ns0:c r="Q52" s="93"/>
      <ns0:c r="R52" s="175"/>
      <ns0:c r="S52" s="25" t="s">
        <ns0:v>9</ns0:v>
      </ns0:c>
    </ns0:row>
    <ns0:row r="53" spans="1:20" s="1" customFormat="1" ht="15" customHeight="1" ns3:dyDescent="0.25">
      <ns0:c r="A53" s="22" t="s">
        <ns0:v>10</ns0:v>
      </ns0:c>
      <ns0:c r="B53" s="23" t="s">
        <ns0:v>11</ns0:v>
      </ns0:c>
      <ns0:c r="C53" s="157"/>
      <ns0:c r="D53" s="94">
        <ns0:f t="shared" ref="D53" si="76">IF((OR(D52="",D51="")),0,IF((D52&lt;D51),((D52-D51)*24)+24,(D52-D51)*24))</ns0:f>
        <ns0:v>8</ns0:v>
      </ns0:c>
      <ns0:c r="E53" s="95"/>
      <ns0:c r="F53" s="94">
        <ns0:f>IF((OR(F52="",F51="")),0,IF((F52&lt;F51),((F52-F51)*24)+24,(F52-F51)*24))</ns0:f>
        <ns0:v>8</ns0:v>
      </ns0:c>
      <ns0:c r="G53" s="95"/>
      <ns0:c r="H53" s="94">
        <ns0:f t="shared" ref="H53" si="77">IF((OR(H52="",H51="")),0,IF((H52&lt;H51),((H52-H51)*24)+24,(H52-H51)*24))</ns0:f>
        <ns0:v>0</ns0:v>
      </ns0:c>
      <ns0:c r="I53" s="95"/>
      <ns0:c r="J53" s="94">
        <ns0:f t="shared" ref="J53" si="78">IF((OR(J52="",J51="")),0,IF((J52&lt;J51),((J52-J51)*24)+24,(J52-J51)*24))</ns0:f>
        <ns0:v>8</ns0:v>
      </ns0:c>
      <ns0:c r="K53" s="95"/>
      <ns0:c r="L53" s="94">
        <ns0:f>IF((OR(L52="",L51="")),0,IF((L52&lt;L51),((L52-L51)*24)+24,(L52-L51)*24))</ns0:f>
        <ns0:v>12</ns0:v>
      </ns0:c>
      <ns0:c r="M53" s="95"/>
      <ns0:c r="N53" s="94">
        <ns0:f t="shared" ref="N53" si="79">IF((OR(N52="",N51="")),0,IF((N52&lt;N51),((N52-N51)*24)+24,(N52-N51)*24))</ns0:f>
        <ns0:v>4</ns0:v>
      </ns0:c>
      <ns0:c r="O53" s="95"/>
      <ns0:c r="P53" s="94">
        <ns0:f t="shared" ref="P53" si="80">IF((OR(P52="",P51="")),0,IF((P52&lt;P51),((P52-P51)*24)+24,(P52-P51)*24))</ns0:f>
        <ns0:v>0</ns0:v>
      </ns0:c>
      <ns0:c r="Q53" s="95"/>
      <ns0:c r="R53" s="176"/>
      <ns0:c r="S53" s="24" t="s">
        <ns0:v>12</ns0:v>
      </ns0:c>
    </ns0:row>
    <ns0:row r="54" spans="1:20" s="1" customFormat="1" ht="15" customHeight="1" ns3:dyDescent="0.25">
      <ns0:c r="A54" s="57" t="s">
        <ns0:v>64</ns0:v>
      </ns0:c>
      <ns0:c r="B54" s="58" t="s">
        <ns0:v>14</ns0:v>
      </ns0:c>
      <ns0:c r="C54" s="155" t="s">
        <ns0:v>15</ns0:v>
      </ns0:c>
      <ns0:c r="D54" s="100"/>
      <ns0:c r="E54" s="101"/>
      <ns0:c r="F54" s="92"/>
      <ns0:c r="G54" s="93"/>
      <ns0:c r="H54" s="92"/>
      <ns0:c r="I54" s="93"/>
      <ns0:c r="J54" s="92"/>
      <ns0:c r="K54" s="93"/>
      <ns0:c r="L54" s="92"/>
      <ns0:c r="M54" s="93"/>
      <ns0:c r="N54" s="92">
        <ns0:v>8.3333333333333329E-2</ns0:v>
      </ns0:c>
      <ns0:c r="O54" s="93"/>
      <ns0:c r="P54" s="92" t="s">
        <ns0:v>94</ns0:v>
      </ns0:c>
      <ns0:c r="Q54" s="93"/>
      <ns0:c r="R54" s="177">
        <ns0:f>SUM(D56:P56)</ns0:f>
        <ns0:v>20</ns0:v>
      </ns0:c>
      <ns0:c r="S54" s="25" t="s">
        <ns0:v>8</ns0:v>
      </ns0:c>
    </ns0:row>
    <ns0:row r="55" spans="1:20" s="1" customFormat="1" ht="15" customHeight="1" ns3:dyDescent="0.25">
      <ns0:c r="A55" s="143" t="s">
        <ns0:v>16</ns0:v>
      </ns0:c>
      <ns0:c r="B55" s="144"/>
      <ns0:c r="C55" s="156"/>
      <ns0:c r="D55" s="92"/>
      <ns0:c r="E55" s="93"/>
      <ns0:c r="F55" s="92"/>
      <ns0:c r="G55" s="93"/>
      <ns0:c r="H55" s="92"/>
      <ns0:c r="I55" s="93"/>
      <ns0:c r="J55" s="92"/>
      <ns0:c r="K55" s="93"/>
      <ns0:c r="L55" s="92"/>
      <ns0:c r="M55" s="93"/>
      <ns0:c r="N55" s="92">
        <ns0:v>0.25</ns0:v>
      </ns0:c>
      <ns0:c r="O55" s="93"/>
      <ns0:c r="P55" s="92" t="s">
        <ns0:v>75</ns0:v>
      </ns0:c>
      <ns0:c r="Q55" s="93"/>
      <ns0:c r="R55" s="175"/>
      <ns0:c r="S55" s="25" t="s">
        <ns0:v>9</ns0:v>
      </ns0:c>
    </ns0:row>
    <ns0:row r="56" spans="1:20" s="1" customFormat="1" ht="15" customHeight="1" ns3:dyDescent="0.2">
      <ns0:c r="A56" s="151" t="s">
        <ns0:v>95</ns0:v>
      </ns0:c>
      <ns0:c r="B56" s="152"/>
      <ns0:c r="C56" s="157"/>
      <ns0:c r="D56" s="94">
        <ns0:f>IF((OR(D55="",D54="")),0,IF((D55&lt;D54),((D55-D54)*24)+24,(D55-D54)*24))</ns0:f>
        <ns0:v>0</ns0:v>
      </ns0:c>
      <ns0:c r="E56" s="95"/>
      <ns0:c r="F56" s="94">
        <ns0:f t="shared" ref="F56" si="81">IF((OR(F55="",F54="")),0,IF((F55&lt;F54),((F55-F54)*24)+24,(F55-F54)*24))</ns0:f>
        <ns0:v>0</ns0:v>
      </ns0:c>
      <ns0:c r="G56" s="95"/>
      <ns0:c r="H56" s="94">
        <ns0:f t="shared" ref="H56" si="82">IF((OR(H55="",H54="")),0,IF((H55&lt;H54),((H55-H54)*24)+24,(H55-H54)*24))</ns0:f>
        <ns0:v>0</ns0:v>
      </ns0:c>
      <ns0:c r="I56" s="95"/>
      <ns0:c r="J56" s="94">
        <ns0:f t="shared" ref="J56" si="83">IF((OR(J55="",J54="")),0,IF((J55&lt;J54),((J55-J54)*24)+24,(J55-J54)*24))</ns0:f>
        <ns0:v>0</ns0:v>
      </ns0:c>
      <ns0:c r="K56" s="95"/>
      <ns0:c r="L56" s="94">
        <ns0:f t="shared" ref="L56" si="84">IF((OR(L55="",L54="")),0,IF((L55&lt;L54),((L55-L54)*24)+24,(L55-L54)*24))</ns0:f>
        <ns0:v>0</ns0:v>
      </ns0:c>
      <ns0:c r="M56" s="95"/>
      <ns0:c r="N56" s="94">
        <ns0:f t="shared" ref="N56" si="85">IF((OR(N55="",N54="")),0,IF((N55&lt;N54),((N55-N54)*24)+24,(N55-N54)*24))</ns0:f>
        <ns0:v>4</ns0:v>
      </ns0:c>
      <ns0:c r="O56" s="95"/>
      <ns0:c r="P56" s="94">
        <ns0:v>16</ns0:v>
      </ns0:c>
      <ns0:c r="Q56" s="95"/>
      <ns0:c r="R56" s="176"/>
      <ns0:c r="S56" s="24" t="s">
        <ns0:v>12</ns0:v>
      </ns0:c>
    </ns0:row>
    <ns0:row r="57" spans="1:20" s="1" customFormat="1" ht="15" customHeight="1" ns3:dyDescent="0.2">
      <ns0:c r="A57" s="153"/>
      <ns0:c r="B57" s="154"/>
      <ns0:c r="C57" s="155" t="s">
        <ns0:v>17</ns0:v>
      </ns0:c>
      <ns0:c r="D57" s="92"/>
      <ns0:c r="E57" s="93"/>
      <ns0:c r="F57" s="92"/>
      <ns0:c r="G57" s="93"/>
      <ns0:c r="H57" s="92"/>
      <ns0:c r="I57" s="93"/>
      <ns0:c r="J57" s="92"/>
      <ns0:c r="K57" s="93"/>
      <ns0:c r="L57" s="92"/>
      <ns0:c r="M57" s="93"/>
      <ns0:c r="N57" s="92"/>
      <ns0:c r="O57" s="93"/>
      <ns0:c r="P57" s="92"/>
      <ns0:c r="Q57" s="93"/>
      <ns0:c r="R57" s="177">
        <ns0:f>SUM(D59:P59)</ns0:f>
        <ns0:v>0</ns0:v>
      </ns0:c>
      <ns0:c r="S57" s="25" t="s">
        <ns0:v>8</ns0:v>
      </ns0:c>
    </ns0:row>
    <ns0:row r="58" spans="1:20" s="1" customFormat="1" ht="15" customHeight="1" ns3:dyDescent="0.25">
      <ns0:c r="A58" s="141"/>
      <ns0:c r="B58" s="142"/>
      <ns0:c r="C58" s="156"/>
      <ns0:c r="D58" s="92"/>
      <ns0:c r="E58" s="93"/>
      <ns0:c r="F58" s="92"/>
      <ns0:c r="G58" s="93"/>
      <ns0:c r="H58" s="92"/>
      <ns0:c r="I58" s="93"/>
      <ns0:c r="J58" s="92"/>
      <ns0:c r="K58" s="93"/>
      <ns0:c r="L58" s="92"/>
      <ns0:c r="M58" s="93"/>
      <ns0:c r="N58" s="92"/>
      <ns0:c r="O58" s="93"/>
      <ns0:c r="P58" s="92"/>
      <ns0:c r="Q58" s="93"/>
      <ns0:c r="R58" s="175"/>
      <ns0:c r="S58" s="25" t="s">
        <ns0:v>9</ns0:v>
      </ns0:c>
    </ns0:row>
    <ns0:row r="59" spans="1:20" s="1" customFormat="1" ht="15" customHeight="1" thickBot="1" ns3:dyDescent="0.3">
      <ns0:c r="A59" s="148"/>
      <ns0:c r="B59" s="149"/>
      <ns0:c r="C59" s="157"/>
      <ns0:c r="D59" s="94">
        <ns0:f>IF((OR(D58="",D57="")),0,IF((D58&lt;D57),((D58-D57)*24)+24,(D58-D57)*24))</ns0:f>
        <ns0:v>0</ns0:v>
      </ns0:c>
      <ns0:c r="E59" s="95"/>
      <ns0:c r="F59" s="94">
        <ns0:f t="shared" ref="F59" si="86">IF((OR(F58="",F57="")),0,IF((F58&lt;F57),((F58-F57)*24)+24,(F58-F57)*24))</ns0:f>
        <ns0:v>0</ns0:v>
      </ns0:c>
      <ns0:c r="G59" s="95"/>
      <ns0:c r="H59" s="94">
        <ns0:f t="shared" ref="H59" si="87">IF((OR(H58="",H57="")),0,IF((H58&lt;H57),((H58-H57)*24)+24,(H58-H57)*24))</ns0:f>
        <ns0:v>0</ns0:v>
      </ns0:c>
      <ns0:c r="I59" s="95"/>
      <ns0:c r="J59" s="94">
        <ns0:f t="shared" ref="J59" si="88">IF((OR(J58="",J57="")),0,IF((J58&lt;J57),((J58-J57)*24)+24,(J58-J57)*24))</ns0:f>
        <ns0:v>0</ns0:v>
      </ns0:c>
      <ns0:c r="K59" s="95"/>
      <ns0:c r="L59" s="94">
        <ns0:f>IF((OR(L58="",L57="")),0,IF((L58&lt;L57),((L58-L57)*24)+24,(L58-L57)*24))</ns0:f>
        <ns0:v>0</ns0:v>
      </ns0:c>
      <ns0:c r="M59" s="95"/>
      <ns0:c r="N59" s="94">
        <ns0:f t="shared" ref="N59" si="89">IF((OR(N58="",N57="")),0,IF((N58&lt;N57),((N58-N57)*24)+24,(N58-N57)*24))</ns0:f>
        <ns0:v>0</ns0:v>
      </ns0:c>
      <ns0:c r="O59" s="95"/>
      <ns0:c r="P59" s="94">
        <ns0:f t="shared" ref="P59" si="90">IF((OR(P58="",P57="")),0,IF((P58&lt;P57),((P58-P57)*24)+24,(P58-P57)*24))</ns0:f>
        <ns0:v>0</ns0:v>
      </ns0:c>
      <ns0:c r="Q59" s="95"/>
      <ns0:c r="R59" s="176"/>
      <ns0:c r="S59" s="27" t="s">
        <ns0:v>12</ns0:v>
      </ns0:c>
    </ns0:row>
    <ns0:row r="60" spans="1:20" s="1" customFormat="1" ht="15" customHeight="1" thickBot="1" ns3:dyDescent="0.3">
      <ns0:c r="A60" s="170" t="s">
        <ns0:v>18</ns0:v>
      </ns0:c>
      <ns0:c r="B60" s="171"/>
      <ns0:c r="C60" s="171"/>
      <ns0:c r="D60" s="96" t="e">
        <ns0:f>IF((OR(D48="",D47="")),0,IF((D48&lt;D47),((D48-D47)*24)+24,(D48-D47)*24))</ns0:f>
        <ns0:v>#VALUE!</ns0:v>
      </ns0:c>
      <ns0:c r="E60" s="97"/>
      <ns0:c r="F60" s="96">
        <ns0:f>F59+F56+F53</ns0:f>
        <ns0:v>8</ns0:v>
      </ns0:c>
      <ns0:c r="G60" s="97"/>
      <ns0:c r="H60" s="96">
        <ns0:f t="shared" ref="H60" si="91">H59+H56+H53</ns0:f>
        <ns0:v>0</ns0:v>
      </ns0:c>
      <ns0:c r="I60" s="97"/>
      <ns0:c r="J60" s="96">
        <ns0:f t="shared" ref="J60" si="92">J59+J56+J53</ns0:f>
        <ns0:v>8</ns0:v>
      </ns0:c>
      <ns0:c r="K60" s="97"/>
      <ns0:c r="L60" s="96">
        <ns0:f t="shared" ref="L60" si="93">L59+L56+L53</ns0:f>
        <ns0:v>12</ns0:v>
      </ns0:c>
      <ns0:c r="M60" s="97"/>
      <ns0:c r="N60" s="96">
        <ns0:f t="shared" ref="N60" si="94">N59+N56+N53</ns0:f>
        <ns0:v>8</ns0:v>
      </ns0:c>
      <ns0:c r="O60" s="97"/>
      <ns0:c r="P60" s="96">
        <ns0:f t="shared" ref="P60" si="95">P59+P56+P53</ns0:f>
        <ns0:v>16</ns0:v>
      </ns0:c>
      <ns0:c r="Q60" s="97"/>
      <ns0:c r="R60" s="28">
        <ns0:f>R57+R54+R51</ns0:f>
        <ns0:v>60</ns0:v>
      </ns0:c>
      <ns0:c r="S60" s="32" t="s">
        <ns0:v>12</ns0:v>
      </ns0:c>
      <ns0:c r="T60" s="26"/>
    </ns0:row>
    <ns0:row r="61" spans="1:20" s="1" customFormat="1" ht="15" customHeight="1" ns3:dyDescent="0.25">
      <ns0:c r="A61" s="161" t="s">
        <ns0:v>6</ns0:v>
      </ns0:c>
      <ns0:c r="B61" s="162"/>
      <ns0:c r="C61" s="158" t="s">
        <ns0:v>7</ns0:v>
      </ns0:c>
      <ns0:c r="D61" s="100">
        <ns0:v>0.91666666666666663</ns0:v>
      </ns0:c>
      <ns0:c r="E61" s="101"/>
      <ns0:c r="F61" s="100">
        <ns0:v>0.91666666666666663</ns0:v>
      </ns0:c>
      <ns0:c r="G61" s="101"/>
      <ns0:c r="H61" s="100">
        <ns0:v>0.91666666666666663</ns0:v>
      </ns0:c>
      <ns0:c r="I61" s="101"/>
      <ns0:c r="J61" s="100">
        <ns0:v>0.91666666666666663</ns0:v>
      </ns0:c>
      <ns0:c r="K61" s="101"/>
      <ns0:c r="L61" s="100">
        <ns0:v>0.91666666666666663</ns0:v>
      </ns0:c>
      <ns0:c r="M61" s="101"/>
      <ns0:c r="N61" s="100" t="s">
        <ns0:v>69</ns0:v>
      </ns0:c>
      <ns0:c r="O61" s="101"/>
      <ns0:c r="P61" s="100" t="s">
        <ns0:v>69</ns0:v>
      </ns0:c>
      <ns0:c r="Q61" s="101"/>
      <ns0:c r="R61" s="190">
        <ns0:f>SUM(D63:P63)</ns0:f>
        <ns0:v>40</ns0:v>
      </ns0:c>
      <ns0:c r="S61" s="20" t="s">
        <ns0:v>8</ns0:v>
      </ns0:c>
    </ns0:row>
    <ns0:row r="62" spans="1:20" s="1" customFormat="1" ht="15" customHeight="1" ns3:dyDescent="0.2">
      <ns0:c r="A62" s="106" t="s">
        <ns0:v>48</ns0:v>
      </ns0:c>
      <ns0:c r="B62" s="107"/>
      <ns0:c r="C62" s="156"/>
      <ns0:c r="D62" s="92">
        <ns0:v>0.25</ns0:v>
      </ns0:c>
      <ns0:c r="E62" s="93"/>
      <ns0:c r="F62" s="92">
        <ns0:v>0.25</ns0:v>
      </ns0:c>
      <ns0:c r="G62" s="93"/>
      <ns0:c r="H62" s="92">
        <ns0:v>0.25</ns0:v>
      </ns0:c>
      <ns0:c r="I62" s="93"/>
      <ns0:c r="J62" s="92">
        <ns0:v>0.25</ns0:v>
      </ns0:c>
      <ns0:c r="K62" s="93"/>
      <ns0:c r="L62" s="92">
        <ns0:v>0.25</ns0:v>
      </ns0:c>
      <ns0:c r="M62" s="93"/>
      <ns0:c r="N62" s="92"/>
      <ns0:c r="O62" s="93"/>
      <ns0:c r="P62" s="92"/>
      <ns0:c r="Q62" s="93"/>
      <ns0:c r="R62" s="179"/>
      <ns0:c r="S62" s="25" t="s">
        <ns0:v>9</ns0:v>
      </ns0:c>
    </ns0:row>
    <ns0:row r="63" spans="1:20" s="1" customFormat="1" ht="15" customHeight="1" ns3:dyDescent="0.25">
      <ns0:c r="A63" s="22" t="s">
        <ns0:v>10</ns0:v>
      </ns0:c>
      <ns0:c r="B63" s="23" t="s">
        <ns0:v>11</ns0:v>
      </ns0:c>
      <ns0:c r="C63" s="157"/>
      <ns0:c r="D63" s="94">
        <ns0:f>IF((OR(D62="",D61="")),0,IF((D62&lt;D61),((D62-D61)*24)+24,(D62-D61)*24))</ns0:f>
        <ns0:v>8</ns0:v>
      </ns0:c>
      <ns0:c r="E63" s="95"/>
      <ns0:c r="F63" s="94">
        <ns0:f t="shared" ref="F63" si="96">IF((OR(F62="",F61="")),0,IF((F62&lt;F61),((F62-F61)*24)+24,(F62-F61)*24))</ns0:f>
        <ns0:v>8</ns0:v>
      </ns0:c>
      <ns0:c r="G63" s="95"/>
      <ns0:c r="H63" s="94">
        <ns0:f t="shared" ref="H63" si="97">IF((OR(H62="",H61="")),0,IF((H62&lt;H61),((H62-H61)*24)+24,(H62-H61)*24))</ns0:f>
        <ns0:v>8</ns0:v>
      </ns0:c>
      <ns0:c r="I63" s="95"/>
      <ns0:c r="J63" s="94">
        <ns0:f t="shared" ref="J63" si="98">IF((OR(J62="",J61="")),0,IF((J62&lt;J61),((J62-J61)*24)+24,(J62-J61)*24))</ns0:f>
        <ns0:v>8</ns0:v>
      </ns0:c>
      <ns0:c r="K63" s="95"/>
      <ns0:c r="L63" s="94">
        <ns0:f t="shared" ref="L63" si="99">IF((OR(L62="",L61="")),0,IF((L62&lt;L61),((L62-L61)*24)+24,(L62-L61)*24))</ns0:f>
        <ns0:v>8</ns0:v>
      </ns0:c>
      <ns0:c r="M63" s="95"/>
      <ns0:c r="N63" s="94">
        <ns0:f t="shared" ref="N63" si="100">IF((OR(N62="",N61="")),0,IF((N62&lt;N61),((N62-N61)*24)+24,(N62-N61)*24))</ns0:f>
        <ns0:v>0</ns0:v>
      </ns0:c>
      <ns0:c r="O63" s="95"/>
      <ns0:c r="P63" s="94">
        <ns0:f t="shared" ref="P63" si="101">IF((OR(P62="",P61="")),0,IF((P62&lt;P61),((P62-P61)*24)+24,(P62-P61)*24))</ns0:f>
        <ns0:v>0</ns0:v>
      </ns0:c>
      <ns0:c r="Q63" s="95"/>
      <ns0:c r="R63" s="180"/>
      <ns0:c r="S63" s="24" t="s">
        <ns0:v>12</ns0:v>
      </ns0:c>
    </ns0:row>
    <ns0:row r="64" spans="1:20" s="1" customFormat="1" ht="15" customHeight="1" ns3:dyDescent="0.25">
      <ns0:c r="A64" s="57" t="s">
        <ns0:v>19</ns0:v>
      </ns0:c>
      <ns0:c r="B64" s="58" t="s">
        <ns0:v>53</ns0:v>
      </ns0:c>
      <ns0:c r="C64" s="155" t="s">
        <ns0:v>15</ns0:v>
      </ns0:c>
      <ns0:c r="D64" s="92"/>
      <ns0:c r="E64" s="93"/>
      <ns0:c r="F64" s="92"/>
      <ns0:c r="G64" s="93"/>
      <ns0:c r="H64" s="92"/>
      <ns0:c r="I64" s="93"/>
      <ns0:c r="J64" s="92"/>
      <ns0:c r="K64" s="93"/>
      <ns0:c r="L64" s="92"/>
      <ns0:c r="M64" s="93"/>
      <ns0:c r="N64" s="92"/>
      <ns0:c r="O64" s="93"/>
      <ns0:c r="P64" s="100"/>
      <ns0:c r="Q64" s="101"/>
      <ns0:c r="R64" s="178">
        <ns0:f>SUM(D66:P66)</ns0:f>
        <ns0:v>0</ns0:v>
      </ns0:c>
      <ns0:c r="S64" s="25" t="s">
        <ns0:v>8</ns0:v>
      </ns0:c>
    </ns0:row>
    <ns0:row r="65" spans="1:20" s="1" customFormat="1" ht="15" customHeight="1" ns3:dyDescent="0.25">
      <ns0:c r="A65" s="143" t="s">
        <ns0:v>16</ns0:v>
      </ns0:c>
      <ns0:c r="B65" s="144"/>
      <ns0:c r="C65" s="156"/>
      <ns0:c r="D65" s="92"/>
      <ns0:c r="E65" s="93"/>
      <ns0:c r="F65" s="92"/>
      <ns0:c r="G65" s="93"/>
      <ns0:c r="H65" s="92"/>
      <ns0:c r="I65" s="93"/>
      <ns0:c r="J65" s="92"/>
      <ns0:c r="K65" s="93"/>
      <ns0:c r="L65" s="92"/>
      <ns0:c r="M65" s="93"/>
      <ns0:c r="N65" s="92"/>
      <ns0:c r="O65" s="93"/>
      <ns0:c r="P65" s="92"/>
      <ns0:c r="Q65" s="93"/>
      <ns0:c r="R65" s="179"/>
      <ns0:c r="S65" s="25" t="s">
        <ns0:v>9</ns0:v>
      </ns0:c>
    </ns0:row>
    <ns0:row r="66" spans="1:20" s="1" customFormat="1" ht="15" customHeight="1" ns3:dyDescent="0.2">
      <ns0:c r="A66" s="151"/>
      <ns0:c r="B66" s="152"/>
      <ns0:c r="C66" s="157"/>
      <ns0:c r="D66" s="94">
        <ns0:f>IF((OR(D65="",D64="")),0,IF((D65&lt;D64),((D65-D64)*24)+24,(D65-D64)*24))</ns0:f>
        <ns0:v>0</ns0:v>
      </ns0:c>
      <ns0:c r="E66" s="95"/>
      <ns0:c r="F66" s="94">
        <ns0:f t="shared" ref="F66" si="102">IF((OR(F65="",F64="")),0,IF((F65&lt;F64),((F65-F64)*24)+24,(F65-F64)*24))</ns0:f>
        <ns0:v>0</ns0:v>
      </ns0:c>
      <ns0:c r="G66" s="95"/>
      <ns0:c r="H66" s="94">
        <ns0:f t="shared" ref="H66" si="103">IF((OR(H65="",H64="")),0,IF((H65&lt;H64),((H65-H64)*24)+24,(H65-H64)*24))</ns0:f>
        <ns0:v>0</ns0:v>
      </ns0:c>
      <ns0:c r="I66" s="95"/>
      <ns0:c r="J66" s="94">
        <ns0:f t="shared" ref="J66" si="104">IF((OR(J65="",J64="")),0,IF((J65&lt;J64),((J65-J64)*24)+24,(J65-J64)*24))</ns0:f>
        <ns0:v>0</ns0:v>
      </ns0:c>
      <ns0:c r="K66" s="95"/>
      <ns0:c r="L66" s="94">
        <ns0:f t="shared" ref="L66" si="105">IF((OR(L65="",L64="")),0,IF((L65&lt;L64),((L65-L64)*24)+24,(L65-L64)*24))</ns0:f>
        <ns0:v>0</ns0:v>
      </ns0:c>
      <ns0:c r="M66" s="95"/>
      <ns0:c r="N66" s="94">
        <ns0:f t="shared" ref="N66" si="106">IF((OR(N65="",N64="")),0,IF((N65&lt;N64),((N65-N64)*24)+24,(N65-N64)*24))</ns0:f>
        <ns0:v>0</ns0:v>
      </ns0:c>
      <ns0:c r="O66" s="95"/>
      <ns0:c r="P66" s="94">
        <ns0:f t="shared" ref="P66" si="107">IF((OR(P65="",P64="")),0,IF((P65&lt;P64),((P65-P64)*24)+24,(P65-P64)*24))</ns0:f>
        <ns0:v>0</ns0:v>
      </ns0:c>
      <ns0:c r="Q66" s="95"/>
      <ns0:c r="R66" s="180"/>
      <ns0:c r="S66" s="24" t="s">
        <ns0:v>12</ns0:v>
      </ns0:c>
    </ns0:row>
    <ns0:row r="67" spans="1:20" s="1" customFormat="1" ht="15" customHeight="1" ns3:dyDescent="0.2">
      <ns0:c r="A67" s="153"/>
      <ns0:c r="B67" s="154"/>
      <ns0:c r="C67" s="155" t="s">
        <ns0:v>17</ns0:v>
      </ns0:c>
      <ns0:c r="D67" s="92"/>
      <ns0:c r="E67" s="93"/>
      <ns0:c r="F67" s="92"/>
      <ns0:c r="G67" s="93"/>
      <ns0:c r="H67" s="92"/>
      <ns0:c r="I67" s="93"/>
      <ns0:c r="J67" s="92"/>
      <ns0:c r="K67" s="93"/>
      <ns0:c r="L67" s="92"/>
      <ns0:c r="M67" s="93"/>
      <ns0:c r="N67" s="92"/>
      <ns0:c r="O67" s="93"/>
      <ns0:c r="P67" s="92"/>
      <ns0:c r="Q67" s="93"/>
      <ns0:c r="R67" s="178">
        <ns0:f>SUM(D69:P69)</ns0:f>
        <ns0:v>0</ns0:v>
      </ns0:c>
      <ns0:c r="S67" s="25" t="s">
        <ns0:v>8</ns0:v>
      </ns0:c>
    </ns0:row>
    <ns0:row r="68" spans="1:20" s="1" customFormat="1" ht="15" customHeight="1" ns3:dyDescent="0.2">
      <ns0:c r="A68" s="151"/>
      <ns0:c r="B68" s="172"/>
      <ns0:c r="C68" s="156"/>
      <ns0:c r="D68" s="92"/>
      <ns0:c r="E68" s="93"/>
      <ns0:c r="F68" s="92"/>
      <ns0:c r="G68" s="93"/>
      <ns0:c r="H68" s="92"/>
      <ns0:c r="I68" s="93"/>
      <ns0:c r="J68" s="92"/>
      <ns0:c r="K68" s="93"/>
      <ns0:c r="L68" s="92"/>
      <ns0:c r="M68" s="93"/>
      <ns0:c r="N68" s="92"/>
      <ns0:c r="O68" s="93"/>
      <ns0:c r="P68" s="92"/>
      <ns0:c r="Q68" s="93"/>
      <ns0:c r="R68" s="179"/>
      <ns0:c r="S68" s="25" t="s">
        <ns0:v>9</ns0:v>
      </ns0:c>
    </ns0:row>
    <ns0:row r="69" spans="1:20" s="1" customFormat="1" ht="15" customHeight="1" thickBot="1" ns3:dyDescent="0.3">
      <ns0:c r="A69" s="148"/>
      <ns0:c r="B69" s="149"/>
      <ns0:c r="C69" s="157"/>
      <ns0:c r="D69" s="94">
        <ns0:f>IF((OR(D68="",D67="")),0,IF((D68&lt;D67),((D68-D67)*24)+24,(D68-D67)*24))</ns0:f>
        <ns0:v>0</ns0:v>
      </ns0:c>
      <ns0:c r="E69" s="95"/>
      <ns0:c r="F69" s="94">
        <ns0:f t="shared" ref="F69" si="108">IF((OR(F68="",F67="")),0,IF((F68&lt;F67),((F68-F67)*24)+24,(F68-F67)*24))</ns0:f>
        <ns0:v>0</ns0:v>
      </ns0:c>
      <ns0:c r="G69" s="95"/>
      <ns0:c r="H69" s="94">
        <ns0:f t="shared" ref="H69" si="109">IF((OR(H68="",H67="")),0,IF((H68&lt;H67),((H68-H67)*24)+24,(H68-H67)*24))</ns0:f>
        <ns0:v>0</ns0:v>
      </ns0:c>
      <ns0:c r="I69" s="95"/>
      <ns0:c r="J69" s="94">
        <ns0:f t="shared" ref="J69" si="110">IF((OR(J68="",J67="")),0,IF((J68&lt;J67),((J68-J67)*24)+24,(J68-J67)*24))</ns0:f>
        <ns0:v>0</ns0:v>
      </ns0:c>
      <ns0:c r="K69" s="95"/>
      <ns0:c r="L69" s="94">
        <ns0:f>IF((OR(L68="",L67="")),0,IF((L68&lt;L67),((L68-L67)*24)+24,(L68-L67)*24))</ns0:f>
        <ns0:v>0</ns0:v>
      </ns0:c>
      <ns0:c r="M69" s="95"/>
      <ns0:c r="N69" s="94">
        <ns0:f t="shared" ref="N69" si="111">IF((OR(N68="",N67="")),0,IF((N68&lt;N67),((N68-N67)*24)+24,(N68-N67)*24))</ns0:f>
        <ns0:v>0</ns0:v>
      </ns0:c>
      <ns0:c r="O69" s="95"/>
      <ns0:c r="P69" s="94">
        <ns0:f t="shared" ref="P69" si="112">IF((OR(P68="",P67="")),0,IF((P68&lt;P67),((P68-P67)*24)+24,(P68-P67)*24))</ns0:f>
        <ns0:v>0</ns0:v>
      </ns0:c>
      <ns0:c r="Q69" s="95"/>
      <ns0:c r="R69" s="180"/>
      <ns0:c r="S69" s="27" t="s">
        <ns0:v>12</ns0:v>
      </ns0:c>
    </ns0:row>
    <ns0:row r="70" spans="1:20" s="1" customFormat="1" ht="15" customHeight="1" thickBot="1" ns3:dyDescent="0.3">
      <ns0:c r="A70" s="145" t="s">
        <ns0:v>18</ns0:v>
      </ns0:c>
      <ns0:c r="B70" s="146"/>
      <ns0:c r="C70" s="147"/>
      <ns0:c r="D70" s="96">
        <ns0:f>D69+D66+D63</ns0:f>
        <ns0:v>8</ns0:v>
      </ns0:c>
      <ns0:c r="E70" s="97"/>
      <ns0:c r="F70" s="96">
        <ns0:f>F69+F66+F63</ns0:f>
        <ns0:v>8</ns0:v>
      </ns0:c>
      <ns0:c r="G70" s="97"/>
      <ns0:c r="H70" s="96">
        <ns0:f t="shared" ref="H70" si="113">H69+H66+H63</ns0:f>
        <ns0:v>8</ns0:v>
      </ns0:c>
      <ns0:c r="I70" s="97"/>
      <ns0:c r="J70" s="96">
        <ns0:f t="shared" ref="J70" si="114">J69+J66+J63</ns0:f>
        <ns0:v>8</ns0:v>
      </ns0:c>
      <ns0:c r="K70" s="97"/>
      <ns0:c r="L70" s="96">
        <ns0:f t="shared" ref="L70" si="115">L69+L66+L63</ns0:f>
        <ns0:v>8</ns0:v>
      </ns0:c>
      <ns0:c r="M70" s="97"/>
      <ns0:c r="N70" s="96">
        <ns0:f t="shared" ref="N70" si="116">N69+N66+N63</ns0:f>
        <ns0:v>0</ns0:v>
      </ns0:c>
      <ns0:c r="O70" s="97"/>
      <ns0:c r="P70" s="96">
        <ns0:f t="shared" ref="P70" si="117">P69+P66+P63</ns0:f>
        <ns0:v>0</ns0:v>
      </ns0:c>
      <ns0:c r="Q70" s="97"/>
      <ns0:c r="R70" s="30">
        <ns0:f>R67+R64+R61</ns0:f>
        <ns0:v>40</ns0:v>
      </ns0:c>
      <ns0:c r="S70" s="32" t="s">
        <ns0:v>12</ns0:v>
      </ns0:c>
    </ns0:row>
    <ns0:row r="71" spans="1:20" s="1" customFormat="1" ht="15" customHeight="1" ns3:dyDescent="0.25">
      <ns0:c r="A71" s="8"/>
      <ns0:c r="B71" s="2"/>
      <ns0:c r="C71" s="3"/>
      <ns0:c r="D71" s="3"/>
      <ns0:c r="E71" s="3"/>
      <ns0:c r="F71" s="3"/>
      <ns0:c r="G71" s="3"/>
      <ns0:c r="H71" s="3"/>
      <ns0:c r="I71" s="9"/>
      <ns0:c r="J71" s="4"/>
      <ns0:c r="K71" s="4" t="s">
        <ns0:v>0</ns0:v>
      </ns0:c>
      <ns0:c r="L71" s="84" t="str">
        <ns0:f>L1</ns0:f>
        <ns0:v>John Boerder</ns0:v>
      </ns0:c>
      <ns0:c r="M71" s="84"/>
      <ns0:c r="N71" s="84"/>
      <ns0:c r="O71" s="84"/>
      <ns0:c r="P71" s="84"/>
      <ns0:c r="Q71" s="3"/>
      <ns0:c r="R71" s="3"/>
      <ns0:c r="S71" s="3"/>
      <ns0:c r="T71" s="15"/>
    </ns0:row>
    <ns0:row r="72" spans="1:20" s="1" customFormat="1" ht="15" customHeight="1" ns3:dyDescent="0.3">
      <ns0:c r="A72" s="10" t="str">
        <ns0:f>A2</ns0:f>
        <ns0:v>CLIENT: PCA - Filer City, MI</ns0:v>
      </ns0:c>
      <ns0:c r="B72" s="11"/>
      <ns0:c r="C72" s="6"/>
      <ns0:c r="D72" s="6"/>
      <ns0:c r="E72" s="6"/>
      <ns0:c r="F72" s="6"/>
      <ns0:c r="G72" s="6"/>
      <ns0:c r="H72" s="6"/>
      <ns0:c r="I72" s="6"/>
      <ns0:c r="J72" s="5"/>
      <ns0:c r="K72" s="5" t="s">
        <ns0:v>1</ns0:v>
      </ns0:c>
      <ns0:c r="L72" s="85" t="str">
        <ns0:f>L2</ns0:f>
        <ns0:v>(231) 723-9951   Ext. 1331</ns0:v>
      </ns0:c>
      <ns0:c r="M72" s="85"/>
      <ns0:c r="N72" s="85"/>
      <ns0:c r="O72" s="85"/>
      <ns0:c r="P72" s="85"/>
      <ns0:c r="Q72" s="6" t="s">
        <ns0:v>2</ns0:v>
      </ns0:c>
      <ns0:c r="R72" s="16"/>
      <ns0:c r="S72" s="86">
        <ns0:f>S2</ns0:f>
        <ns0:v>46116</ns0:v>
      </ns0:c>
      <ns0:c r="T72" s="87"/>
    </ns0:row>
    <ns0:row r="73" spans="1:20" s="1" customFormat="1" ht="13.5" customHeight="1" thickBot="1" ns3:dyDescent="0.35">
      <ns0:c r="A73" s="12"/>
      <ns0:c r="B73" s="88"/>
      <ns0:c r="C73" s="88"/>
      <ns0:c r="D73" s="88"/>
      <ns0:c r="E73" s="88"/>
      <ns0:c r="F73" s="88"/>
      <ns0:c r="G73" s="88"/>
      <ns0:c r="H73" s="13"/>
      <ns0:c r="I73" s="14"/>
      <ns0:c r="J73" s="14"/>
      <ns0:c r="K73" s="14" t="s">
        <ns0:v>3</ns0:v>
      </ns0:c>
      <ns0:c r="L73" s="89" t="str">
        <ns0:f>L3</ns0:f>
        <ns0:v>(231) 388-5092</ns0:v>
      </ns0:c>
      <ns0:c r="M73" s="89"/>
      <ns0:c r="N73" s="89"/>
      <ns0:c r="O73" s="89"/>
      <ns0:c r="P73" s="89"/>
      <ns0:c r="Q73" s="90"/>
      <ns0:c r="R73" s="90"/>
      <ns0:c r="S73" s="90"/>
      <ns0:c r="T73" s="91"/>
    </ns0:row>
    <ns0:row r="74" spans="1:20" s="1" customFormat="1" ht="13.2" customHeight="1" thickBot="1" ns3:dyDescent="0.3">
      <ns0:c r="A74" s="206"/>
      <ns0:c r="B74" s="207"/>
      <ns0:c r="C74" s="208"/>
      <ns0:c r="D74" s="136" t="s">
        <ns0:v>4</ns0:v>
      </ns0:c>
      <ns0:c r="E74" s="137"/>
      <ns0:c r="F74" s="137"/>
      <ns0:c r="G74" s="137"/>
      <ns0:c r="H74" s="137"/>
      <ns0:c r="I74" s="137"/>
      <ns0:c r="J74" s="137"/>
      <ns0:c r="K74" s="137"/>
      <ns0:c r="L74" s="137"/>
      <ns0:c r="M74" s="137"/>
      <ns0:c r="N74" s="137"/>
      <ns0:c r="O74" s="137"/>
      <ns0:c r="P74" s="137"/>
      <ns0:c r="Q74" s="138"/>
      <ns0:c r="R74" s="17"/>
      <ns0:c r="S74" s="18"/>
      <ns0:c r="T74" s="18"/>
    </ns0:row>
    <ns0:row r="75" spans="1:20" s="1" customFormat="1" ht="13.2" customHeight="1" thickBot="1" ns3:dyDescent="0.3">
      <ns0:c r="A75" s="209"/>
      <ns0:c r="B75" s="210"/>
      <ns0:c r="C75" s="211"/>
      <ns0:c r="D75" s="102">
        <ns0:f>D5</ns0:f>
        <ns0:v>46110</ns0:v>
      </ns0:c>
      <ns0:c r="E75" s="104"/>
      <ns0:c r="F75" s="102">
        <ns0:f t="shared" ref="F75" si="118">F5</ns0:f>
        <ns0:v>46111</ns0:v>
      </ns0:c>
      <ns0:c r="G75" s="104"/>
      <ns0:c r="H75" s="102">
        <ns0:f t="shared" ref="H75" si="119">H5</ns0:f>
        <ns0:v>46112</ns0:v>
      </ns0:c>
      <ns0:c r="I75" s="104"/>
      <ns0:c r="J75" s="102">
        <ns0:f t="shared" ref="J75" si="120">J5</ns0:f>
        <ns0:v>46113</ns0:v>
      </ns0:c>
      <ns0:c r="K75" s="104"/>
      <ns0:c r="L75" s="102">
        <ns0:f t="shared" ref="L75" si="121">L5</ns0:f>
        <ns0:v>46114</ns0:v>
      </ns0:c>
      <ns0:c r="M75" s="104"/>
      <ns0:c r="N75" s="102">
        <ns0:f t="shared" ref="N75" si="122">N5</ns0:f>
        <ns0:v>46115</ns0:v>
      </ns0:c>
      <ns0:c r="O75" s="104"/>
      <ns0:c r="P75" s="102">
        <ns0:f t="shared" ref="P75" si="123">P5</ns0:f>
        <ns0:v>46116</ns0:v>
      </ns0:c>
      <ns0:c r="Q75" s="104"/>
      <ns0:c r="R75" s="19" t="s">
        <ns0:v>5</ns0:v>
      </ns0:c>
      <ns0:c r="S75" s="7"/>
      <ns0:c r="T75" s="7"/>
    </ns0:row>
    <ns0:row r="76" spans="1:20" s="1" customFormat="1" ht="15" customHeight="1" ns3:dyDescent="0.25">
      <ns0:c r="A76" s="161" t="s">
        <ns0:v>6</ns0:v>
      </ns0:c>
      <ns0:c r="B76" s="162"/>
      <ns0:c r="C76" s="158" t="s">
        <ns0:v>7</ns0:v>
      </ns0:c>
      <ns0:c r="D76" s="100"/>
      <ns0:c r="E76" s="101"/>
      <ns0:c r="F76" s="100"/>
      <ns0:c r="G76" s="101"/>
      <ns0:c r="H76" s="100"/>
      <ns0:c r="I76" s="101"/>
      <ns0:c r="J76" s="100"/>
      <ns0:c r="K76" s="101"/>
      <ns0:c r="L76" s="100"/>
      <ns0:c r="M76" s="101"/>
      <ns0:c r="N76" s="100"/>
      <ns0:c r="O76" s="101"/>
      <ns0:c r="P76" s="100"/>
      <ns0:c r="Q76" s="101"/>
      <ns0:c r="R76" s="174">
        <ns0:f>SUM(D78:P78)</ns0:f>
        <ns0:v>0</ns0:v>
      </ns0:c>
      <ns0:c r="S76" s="20" t="s">
        <ns0:v>8</ns0:v>
      </ns0:c>
      <ns0:c r="T76" s="26"/>
    </ns0:row>
    <ns0:row r="77" spans="1:20" s="1" customFormat="1" ht="15" customHeight="1" ns3:dyDescent="0.2">
      <ns0:c r="A77" s="106"/>
      <ns0:c r="B77" s="107"/>
      <ns0:c r="C77" s="156"/>
      <ns0:c r="D77" s="92"/>
      <ns0:c r="E77" s="93"/>
      <ns0:c r="F77" s="92"/>
      <ns0:c r="G77" s="93"/>
      <ns0:c r="H77" s="92"/>
      <ns0:c r="I77" s="93"/>
      <ns0:c r="J77" s="92"/>
      <ns0:c r="K77" s="93"/>
      <ns0:c r="L77" s="92"/>
      <ns0:c r="M77" s="93"/>
      <ns0:c r="N77" s="92"/>
      <ns0:c r="O77" s="93"/>
      <ns0:c r="P77" s="92"/>
      <ns0:c r="Q77" s="93"/>
      <ns0:c r="R77" s="175"/>
      <ns0:c r="S77" s="25" t="s">
        <ns0:v>9</ns0:v>
      </ns0:c>
    </ns0:row>
    <ns0:row r="78" spans="1:20" s="1" customFormat="1" ht="15" customHeight="1" ns3:dyDescent="0.25">
      <ns0:c r="A78" s="22" t="s">
        <ns0:v>10</ns0:v>
      </ns0:c>
      <ns0:c r="B78" s="23" t="s">
        <ns0:v>11</ns0:v>
      </ns0:c>
      <ns0:c r="C78" s="157"/>
      <ns0:c r="D78" s="94">
        <ns0:f>IF((OR(D77="",D76="")),0,IF((D77&lt;D76),((D77-D76)*24)+24,(D77-D76)*24))</ns0:f>
        <ns0:v>0</ns0:v>
      </ns0:c>
      <ns0:c r="E78" s="95"/>
      <ns0:c r="F78" s="94">
        <ns0:f t="shared" ref="F78" si="124">IF((OR(F77="",F76="")),0,IF((F77&lt;F76),((F77-F76)*24)+24,(F77-F76)*24))</ns0:f>
        <ns0:v>0</ns0:v>
      </ns0:c>
      <ns0:c r="G78" s="95"/>
      <ns0:c r="H78" s="94">
        <ns0:f t="shared" ref="H78:J78" si="125">IF((OR(H77="",H76="")),0,IF((H77&lt;H76),((H77-H76)*24)+24,(H77-H76)*24))</ns0:f>
        <ns0:v>0</ns0:v>
      </ns0:c>
      <ns0:c r="I78" s="95"/>
      <ns0:c r="J78" s="94">
        <ns0:f t="shared" si="125"/>
        <ns0:v>0</ns0:v>
      </ns0:c>
      <ns0:c r="K78" s="95"/>
      <ns0:c r="L78" s="94">
        <ns0:f t="shared" ref="L78" si="126">IF((OR(L77="",L76="")),0,IF((L77&lt;L76),((L77-L76)*24)+24,(L77-L76)*24))</ns0:f>
        <ns0:v>0</ns0:v>
      </ns0:c>
      <ns0:c r="M78" s="95"/>
      <ns0:c r="N78" s="94">
        <ns0:f t="shared" ref="N78" si="127">IF((OR(N77="",N76="")),0,IF((N77&lt;N76),((N77-N76)*24)+24,(N77-N76)*24))</ns0:f>
        <ns0:v>0</ns0:v>
      </ns0:c>
      <ns0:c r="O78" s="95"/>
      <ns0:c r="P78" s="94">
        <ns0:f t="shared" ref="P78" si="128">IF((OR(P77="",P76="")),0,IF((P77&lt;P76),((P77-P76)*24)+24,(P77-P76)*24))</ns0:f>
        <ns0:v>0</ns0:v>
      </ns0:c>
      <ns0:c r="Q78" s="95"/>
      <ns0:c r="R78" s="176"/>
      <ns0:c r="S78" s="24" t="s">
        <ns0:v>12</ns0:v>
      </ns0:c>
    </ns0:row>
    <ns0:row r="79" spans="1:20" s="1" customFormat="1" ht="15" customHeight="1" ns3:dyDescent="0.25">
      <ns0:c r="A79" s="57" t="s">
        <ns0:v>19</ns0:v>
      </ns0:c>
      <ns0:c r="B79" s="58"/>
      <ns0:c r="C79" s="155" t="s">
        <ns0:v>15</ns0:v>
      </ns0:c>
      <ns0:c r="D79" s="92"/>
      <ns0:c r="E79" s="93"/>
      <ns0:c r="F79" s="92"/>
      <ns0:c r="G79" s="93"/>
      <ns0:c r="H79" s="92"/>
      <ns0:c r="I79" s="93"/>
      <ns0:c r="J79" s="100"/>
      <ns0:c r="K79" s="101"/>
      <ns0:c r="L79" s="92"/>
      <ns0:c r="M79" s="93"/>
      <ns0:c r="N79" s="92"/>
      <ns0:c r="O79" s="93"/>
      <ns0:c r="P79" s="92"/>
      <ns0:c r="Q79" s="93"/>
      <ns0:c r="R79" s="177">
        <ns0:f>SUM(D81:P81)</ns0:f>
        <ns0:v>0</ns0:v>
      </ns0:c>
      <ns0:c r="S79" s="25" t="s">
        <ns0:v>8</ns0:v>
      </ns0:c>
    </ns0:row>
    <ns0:row r="80" spans="1:20" s="1" customFormat="1" ht="15" customHeight="1" ns3:dyDescent="0.25">
      <ns0:c r="A80" s="143" t="s">
        <ns0:v>16</ns0:v>
      </ns0:c>
      <ns0:c r="B80" s="144"/>
      <ns0:c r="C80" s="156"/>
      <ns0:c r="D80" s="92"/>
      <ns0:c r="E80" s="93"/>
      <ns0:c r="F80" s="92"/>
      <ns0:c r="G80" s="93"/>
      <ns0:c r="H80" s="92"/>
      <ns0:c r="I80" s="93"/>
      <ns0:c r="J80" s="92"/>
      <ns0:c r="K80" s="93"/>
      <ns0:c r="L80" s="92"/>
      <ns0:c r="M80" s="93"/>
      <ns0:c r="N80" s="92"/>
      <ns0:c r="O80" s="93"/>
      <ns0:c r="P80" s="92"/>
      <ns0:c r="Q80" s="93"/>
      <ns0:c r="R80" s="175"/>
      <ns0:c r="S80" s="25" t="s">
        <ns0:v>9</ns0:v>
      </ns0:c>
    </ns0:row>
    <ns0:row r="81" spans="1:21" s="1" customFormat="1" ht="15" customHeight="1" ns3:dyDescent="0.25">
      <ns0:c r="A81" s="151"/>
      <ns0:c r="B81" s="150"/>
      <ns0:c r="C81" s="157"/>
      <ns0:c r="D81" s="94">
        <ns0:f>IF((OR(D80="",D79="")),0,IF((D80&lt;D79),((D80-D79)*24)+24,(D80-D79)*24))</ns0:f>
        <ns0:v>0</ns0:v>
      </ns0:c>
      <ns0:c r="E81" s="95"/>
      <ns0:c r="F81" s="94">
        <ns0:f t="shared" ref="F81" si="129">IF((OR(F80="",F79="")),0,IF((F80&lt;F79),((F80-F79)*24)+24,(F80-F79)*24))</ns0:f>
        <ns0:v>0</ns0:v>
      </ns0:c>
      <ns0:c r="G81" s="95"/>
      <ns0:c r="H81" s="94">
        <ns0:f t="shared" ref="H81" si="130">IF((OR(H80="",H79="")),0,IF((H80&lt;H79),((H80-H79)*24)+24,(H80-H79)*24))</ns0:f>
        <ns0:v>0</ns0:v>
      </ns0:c>
      <ns0:c r="I81" s="95"/>
      <ns0:c r="J81" s="94">
        <ns0:f t="shared" ref="J81" si="131">IF((OR(J80="",J79="")),0,IF((J80&lt;J79),((J80-J79)*24)+24,(J80-J79)*24))</ns0:f>
        <ns0:v>0</ns0:v>
      </ns0:c>
      <ns0:c r="K81" s="95"/>
      <ns0:c r="L81" s="94">
        <ns0:f t="shared" ref="L81" si="132">IF((OR(L80="",L79="")),0,IF((L80&lt;L79),((L80-L79)*24)+24,(L80-L79)*24))</ns0:f>
        <ns0:v>0</ns0:v>
      </ns0:c>
      <ns0:c r="M81" s="95"/>
      <ns0:c r="N81" s="94">
        <ns0:f t="shared" ref="N81" si="133">IF((OR(N80="",N79="")),0,IF((N80&lt;N79),((N80-N79)*24)+24,(N80-N79)*24))</ns0:f>
        <ns0:v>0</ns0:v>
      </ns0:c>
      <ns0:c r="O81" s="95"/>
      <ns0:c r="P81" s="139">
        <ns0:f t="shared" ref="P81" si="134">IF((OR(P80="",P79="")),0,IF((P80&lt;P79),((P80-P79)*24)+24,(P80-P79)*24))</ns0:f>
        <ns0:v>0</ns0:v>
      </ns0:c>
      <ns0:c r="Q81" s="140"/>
      <ns0:c r="R81" s="176"/>
      <ns0:c r="S81" s="24" t="s">
        <ns0:v>12</ns0:v>
      </ns0:c>
    </ns0:row>
    <ns0:row r="82" spans="1:21" s="1" customFormat="1" ht="15" customHeight="1" ns3:dyDescent="0.2">
      <ns0:c r="A82" s="153"/>
      <ns0:c r="B82" s="154"/>
      <ns0:c r="C82" s="155" t="s">
        <ns0:v>17</ns0:v>
      </ns0:c>
      <ns0:c r="D82" s="92"/>
      <ns0:c r="E82" s="93"/>
      <ns0:c r="F82" s="92"/>
      <ns0:c r="G82" s="93"/>
      <ns0:c r="H82" s="92"/>
      <ns0:c r="I82" s="93"/>
      <ns0:c r="J82" s="100"/>
      <ns0:c r="K82" s="101"/>
      <ns0:c r="L82" s="92"/>
      <ns0:c r="M82" s="93"/>
      <ns0:c r="N82" s="92"/>
      <ns0:c r="O82" s="93"/>
      <ns0:c r="P82" s="92"/>
      <ns0:c r="Q82" s="93"/>
      <ns0:c r="R82" s="177">
        <ns0:f>SUM(D84:P84)</ns0:f>
        <ns0:v>0</ns0:v>
      </ns0:c>
      <ns0:c r="S82" s="25" t="s">
        <ns0:v>8</ns0:v>
      </ns0:c>
    </ns0:row>
    <ns0:row r="83" spans="1:21" s="1" customFormat="1" ht="15" customHeight="1" ns3:dyDescent="0.2">
      <ns0:c r="A83" s="151"/>
      <ns0:c r="B83" s="172"/>
      <ns0:c r="C83" s="156"/>
      <ns0:c r="D83" s="92"/>
      <ns0:c r="E83" s="93"/>
      <ns0:c r="F83" s="92"/>
      <ns0:c r="G83" s="93"/>
      <ns0:c r="H83" s="92"/>
      <ns0:c r="I83" s="93"/>
      <ns0:c r="J83" s="92"/>
      <ns0:c r="K83" s="93"/>
      <ns0:c r="L83" s="92"/>
      <ns0:c r="M83" s="93"/>
      <ns0:c r="N83" s="92"/>
      <ns0:c r="O83" s="93"/>
      <ns0:c r="P83" s="92"/>
      <ns0:c r="Q83" s="93"/>
      <ns0:c r="R83" s="175"/>
      <ns0:c r="S83" s="25" t="s">
        <ns0:v>9</ns0:v>
      </ns0:c>
    </ns0:row>
    <ns0:row r="84" spans="1:21" s="1" customFormat="1" ht="15" customHeight="1" thickBot="1" ns3:dyDescent="0.3">
      <ns0:c r="A84" s="173"/>
      <ns0:c r="B84" s="149"/>
      <ns0:c r="C84" s="157"/>
      <ns0:c r="D84" s="94">
        <ns0:f>IF((OR(D83="",D82="")),0,IF((D83&lt;D82),((D83-D82)*24)+24,(D83-D82)*24))</ns0:f>
        <ns0:v>0</ns0:v>
      </ns0:c>
      <ns0:c r="E84" s="95"/>
      <ns0:c r="F84" s="94">
        <ns0:f t="shared" ref="F84" si="135">IF((OR(F83="",F82="")),0,IF((F83&lt;F82),((F83-F82)*24)+24,(F83-F82)*24))</ns0:f>
        <ns0:v>0</ns0:v>
      </ns0:c>
      <ns0:c r="G84" s="95"/>
      <ns0:c r="H84" s="94">
        <ns0:f t="shared" ref="H84" si="136">IF((OR(H83="",H82="")),0,IF((H83&lt;H82),((H83-H82)*24)+24,(H83-H82)*24))</ns0:f>
        <ns0:v>0</ns0:v>
      </ns0:c>
      <ns0:c r="I84" s="95"/>
      <ns0:c r="J84" s="94">
        <ns0:f t="shared" ref="J84" si="137">IF((OR(J83="",J82="")),0,IF((J83&lt;J82),((J83-J82)*24)+24,(J83-J82)*24))</ns0:f>
        <ns0:v>0</ns0:v>
      </ns0:c>
      <ns0:c r="K84" s="95"/>
      <ns0:c r="L84" s="94">
        <ns0:f>IF((OR(L83="",L82="")),0,IF((L83&lt;L82),((L83-L82)*24)+24,(L83-L82)*24))</ns0:f>
        <ns0:v>0</ns0:v>
      </ns0:c>
      <ns0:c r="M84" s="95"/>
      <ns0:c r="N84" s="94">
        <ns0:f>IF((OR(N83="",N82="")),0,IF((N83&lt;N82),((N83-N82)*24)+24,(N83-N82)*24))</ns0:f>
        <ns0:v>0</ns0:v>
      </ns0:c>
      <ns0:c r="O84" s="95"/>
      <ns0:c r="P84" s="94">
        <ns0:f t="shared" ref="P84" si="138">IF((OR(P83="",P82="")),0,IF((P83&lt;P82),((P83-P82)*24)+24,(P83-P82)*24))</ns0:f>
        <ns0:v>0</ns0:v>
      </ns0:c>
      <ns0:c r="Q84" s="95"/>
      <ns0:c r="R84" s="176"/>
      <ns0:c r="S84" s="33" t="s">
        <ns0:v>12</ns0:v>
      </ns0:c>
    </ns0:row>
    <ns0:row r="85" spans="1:21" s="1" customFormat="1" ht="15" customHeight="1" thickBot="1" ns3:dyDescent="0.3">
      <ns0:c r="A85" s="145" t="s">
        <ns0:v>18</ns0:v>
      </ns0:c>
      <ns0:c r="B85" s="146"/>
      <ns0:c r="C85" s="147"/>
      <ns0:c r="D85" s="96">
        <ns0:f>D84+D81+D78</ns0:f>
        <ns0:v>0</ns0:v>
      </ns0:c>
      <ns0:c r="E85" s="97"/>
      <ns0:c r="F85" s="96">
        <ns0:f>F84+F81+F78</ns0:f>
        <ns0:v>0</ns0:v>
      </ns0:c>
      <ns0:c r="G85" s="97"/>
      <ns0:c r="H85" s="96">
        <ns0:f t="shared" ref="H85" si="139">H84+H81+H78</ns0:f>
        <ns0:v>0</ns0:v>
      </ns0:c>
      <ns0:c r="I85" s="97"/>
      <ns0:c r="J85" s="96">
        <ns0:f t="shared" ref="J85" si="140">J84+J81+J78</ns0:f>
        <ns0:v>0</ns0:v>
      </ns0:c>
      <ns0:c r="K85" s="97"/>
      <ns0:c r="L85" s="96">
        <ns0:f t="shared" ref="L85" si="141">L84+L81+L78</ns0:f>
        <ns0:v>0</ns0:v>
      </ns0:c>
      <ns0:c r="M85" s="97"/>
      <ns0:c r="N85" s="96">
        <ns0:f t="shared" ref="N85" si="142">N84+N81+N78</ns0:f>
        <ns0:v>0</ns0:v>
      </ns0:c>
      <ns0:c r="O85" s="97"/>
      <ns0:c r="P85" s="96">
        <ns0:f t="shared" ref="P85" si="143">P84+P81+P78</ns0:f>
        <ns0:v>0</ns0:v>
      </ns0:c>
      <ns0:c r="Q85" s="97"/>
      <ns0:c r="R85" s="28">
        <ns0:f>R82+R79+R76</ns0:f>
        <ns0:v>0</ns0:v>
      </ns0:c>
      <ns0:c r="S85" s="31" t="s">
        <ns0:v>12</ns0:v>
      </ns0:c>
    </ns0:row>
    <ns0:row r="86" spans="1:21" s="1" customFormat="1" ht="15" customHeight="1" ns3:dyDescent="0.25">
      <ns0:c r="A86" s="161" t="s">
        <ns0:v>6</ns0:v>
      </ns0:c>
      <ns0:c r="B86" s="162"/>
      <ns0:c r="C86" s="158" t="s">
        <ns0:v>7</ns0:v>
      </ns0:c>
      <ns0:c r="D86" s="100">
        <ns0:v>0.25</ns0:v>
      </ns0:c>
      <ns0:c r="E86" s="101"/>
      <ns0:c r="F86" s="100" t="s">
        <ns0:v>76</ns0:v>
      </ns0:c>
      <ns0:c r="G86" s="101"/>
      <ns0:c r="H86" s="100">
        <ns0:v>0.25</ns0:v>
      </ns0:c>
      <ns0:c r="I86" s="101"/>
      <ns0:c r="J86" s="100">
        <ns0:v>0.25</ns0:v>
      </ns0:c>
      <ns0:c r="K86" s="101"/>
      <ns0:c r="L86" s="100">
        <ns0:v>0.25</ns0:v>
      </ns0:c>
      <ns0:c r="M86" s="101"/>
      <ns0:c r="N86" s="100">
        <ns0:v>0.25</ns0:v>
      </ns0:c>
      <ns0:c r="O86" s="101"/>
      <ns0:c r="P86" s="100" t="s">
        <ns0:v>69</ns0:v>
      </ns0:c>
      <ns0:c r="Q86" s="101"/>
      <ns0:c r="R86" s="174">
        <ns0:f>SUM(D88:P88)</ns0:f>
        <ns0:v>40</ns0:v>
      </ns0:c>
      <ns0:c r="S86" s="21" t="s">
        <ns0:v>8</ns0:v>
      </ns0:c>
    </ns0:row>
    <ns0:row r="87" spans="1:21" s="1" customFormat="1" ht="15" customHeight="1" ns3:dyDescent="0.2">
      <ns0:c r="A87" s="106" t="s">
        <ns0:v>62</ns0:v>
      </ns0:c>
      <ns0:c r="B87" s="107"/>
      <ns0:c r="C87" s="156"/>
      <ns0:c r="D87" s="92">
        <ns0:v>0.58333333333333337</ns0:v>
      </ns0:c>
      <ns0:c r="E87" s="93"/>
      <ns0:c r="F87" s="92"/>
      <ns0:c r="G87" s="93"/>
      <ns0:c r="H87" s="92">
        <ns0:v>0.58333333333333337</ns0:v>
      </ns0:c>
      <ns0:c r="I87" s="93"/>
      <ns0:c r="J87" s="92">
        <ns0:v>0.58333333333333337</ns0:v>
      </ns0:c>
      <ns0:c r="K87" s="93"/>
      <ns0:c r="L87" s="92">
        <ns0:v>0.58333333333333337</ns0:v>
      </ns0:c>
      <ns0:c r="M87" s="93"/>
      <ns0:c r="N87" s="92">
        <ns0:v>0.58333333333333337</ns0:v>
      </ns0:c>
      <ns0:c r="O87" s="93"/>
      <ns0:c r="P87" s="92"/>
      <ns0:c r="Q87" s="93"/>
      <ns0:c r="R87" s="175"/>
      <ns0:c r="S87" s="25" t="s">
        <ns0:v>9</ns0:v>
      </ns0:c>
    </ns0:row>
    <ns0:row r="88" spans="1:21" s="1" customFormat="1" ht="15" customHeight="1" ns3:dyDescent="0.25">
      <ns0:c r="A88" s="22" t="s">
        <ns0:v>10</ns0:v>
      </ns0:c>
      <ns0:c r="B88" s="23" t="s">
        <ns0:v>11</ns0:v>
      </ns0:c>
      <ns0:c r="C88" s="157"/>
      <ns0:c r="D88" s="94">
        <ns0:v>8</ns0:v>
      </ns0:c>
      <ns0:c r="E88" s="95"/>
      <ns0:c r="F88" s="94">
        <ns0:f t="shared" ref="F88" si="144">IF((OR(F87="",F86="")),0,IF((F87&lt;F86),((F87-F86)*24)+24,(F87-F86)*24))</ns0:f>
        <ns0:v>0</ns0:v>
      </ns0:c>
      <ns0:c r="G88" s="95"/>
      <ns0:c r="H88" s="94">
        <ns0:f t="shared" ref="H88" si="145">IF((OR(H87="",H86="")),0,IF((H87&lt;H86),((H87-H86)*24)+24,(H87-H86)*24))</ns0:f>
        <ns0:v>8</ns0:v>
      </ns0:c>
      <ns0:c r="I88" s="95"/>
      <ns0:c r="J88" s="94">
        <ns0:f t="shared" ref="J88" si="146">IF((OR(J87="",J86="")),0,IF((J87&lt;J86),((J87-J86)*24)+24,(J87-J86)*24))</ns0:f>
        <ns0:v>8</ns0:v>
      </ns0:c>
      <ns0:c r="K88" s="95"/>
      <ns0:c r="L88" s="94">
        <ns0:f t="shared" ref="L88" si="147">IF((OR(L87="",L86="")),0,IF((L87&lt;L86),((L87-L86)*24)+24,(L87-L86)*24))</ns0:f>
        <ns0:v>8</ns0:v>
      </ns0:c>
      <ns0:c r="M88" s="95"/>
      <ns0:c r="N88" s="94">
        <ns0:v>8</ns0:v>
      </ns0:c>
      <ns0:c r="O88" s="95"/>
      <ns0:c r="P88" s="94"/>
      <ns0:c r="Q88" s="95"/>
      <ns0:c r="R88" s="176"/>
      <ns0:c r="S88" s="24" t="s">
        <ns0:v>12</ns0:v>
      </ns0:c>
    </ns0:row>
    <ns0:row r="89" spans="1:21" s="1" customFormat="1" ht="15" customHeight="1" ns3:dyDescent="0.25">
      <ns0:c r="A89" s="57" t="s">
        <ns0:v>64</ns0:v>
      </ns0:c>
      <ns0:c r="B89" s="58" t="s">
        <ns0:v>53</ns0:v>
      </ns0:c>
      <ns0:c r="C89" s="155" t="s">
        <ns0:v>15</ns0:v>
      </ns0:c>
      <ns0:c r="D89" s="92"/>
      <ns0:c r="E89" s="93"/>
      <ns0:c r="F89" s="92"/>
      <ns0:c r="G89" s="93"/>
      <ns0:c r="H89" s="92"/>
      <ns0:c r="I89" s="93"/>
      <ns0:c r="J89" s="92"/>
      <ns0:c r="K89" s="93"/>
      <ns0:c r="L89" s="92"/>
      <ns0:c r="M89" s="93"/>
      <ns0:c r="N89" s="92"/>
      <ns0:c r="O89" s="93"/>
      <ns0:c r="P89" s="92"/>
      <ns0:c r="Q89" s="93"/>
      <ns0:c r="R89" s="177">
        <ns0:f>SUM(D91:P91)</ns0:f>
        <ns0:v>0</ns0:v>
      </ns0:c>
      <ns0:c r="S89" s="25" t="s">
        <ns0:v>8</ns0:v>
      </ns0:c>
    </ns0:row>
    <ns0:row r="90" spans="1:21" s="1" customFormat="1" ht="15" customHeight="1" ns3:dyDescent="0.25">
      <ns0:c r="A90" s="143" t="s">
        <ns0:v>16</ns0:v>
      </ns0:c>
      <ns0:c r="B90" s="144"/>
      <ns0:c r="C90" s="156"/>
      <ns0:c r="D90" s="92"/>
      <ns0:c r="E90" s="93"/>
      <ns0:c r="F90" s="92"/>
      <ns0:c r="G90" s="93"/>
      <ns0:c r="H90" s="92"/>
      <ns0:c r="I90" s="93"/>
      <ns0:c r="J90" s="92"/>
      <ns0:c r="K90" s="93"/>
      <ns0:c r="L90" s="92"/>
      <ns0:c r="M90" s="93"/>
      <ns0:c r="N90" s="92"/>
      <ns0:c r="O90" s="93"/>
      <ns0:c r="P90" s="92"/>
      <ns0:c r="Q90" s="93"/>
      <ns0:c r="R90" s="175"/>
      <ns0:c r="S90" s="25" t="s">
        <ns0:v>9</ns0:v>
      </ns0:c>
    </ns0:row>
    <ns0:row r="91" spans="1:21" s="1" customFormat="1" ht="15" customHeight="1" ns3:dyDescent="0.25">
      <ns0:c r="A91" s="141" t="s">
        <ns0:v>103</ns0:v>
      </ns0:c>
      <ns0:c r="B91" s="150"/>
      <ns0:c r="C91" s="157"/>
      <ns0:c r="D91" s="94">
        <ns0:f>IF((OR(D90="",D89="")),0,IF((D90&lt;D89),((D90-D89)*24)+24,(D90-D89)*24))</ns0:f>
        <ns0:v>0</ns0:v>
      </ns0:c>
      <ns0:c r="E91" s="95"/>
      <ns0:c r="F91" s="94">
        <ns0:f t="shared" ref="F91" si="148">IF((OR(F90="",F89="")),0,IF((F90&lt;F89),((F90-F89)*24)+24,(F90-F89)*24))</ns0:f>
        <ns0:v>0</ns0:v>
      </ns0:c>
      <ns0:c r="G91" s="95"/>
      <ns0:c r="H91" s="94">
        <ns0:f t="shared" ref="H91" si="149">IF((OR(H90="",H89="")),0,IF((H90&lt;H89),((H90-H89)*24)+24,(H90-H89)*24))</ns0:f>
        <ns0:v>0</ns0:v>
      </ns0:c>
      <ns0:c r="I91" s="95"/>
      <ns0:c r="J91" s="94">
        <ns0:f t="shared" ref="J91" si="150">IF((OR(J90="",J89="")),0,IF((J90&lt;J89),((J90-J89)*24)+24,(J90-J89)*24))</ns0:f>
        <ns0:v>0</ns0:v>
      </ns0:c>
      <ns0:c r="K91" s="95"/>
      <ns0:c r="L91" s="94">
        <ns0:f t="shared" ref="L91" si="151">IF((OR(L90="",L89="")),0,IF((L90&lt;L89),((L90-L89)*24)+24,(L90-L89)*24))</ns0:f>
        <ns0:v>0</ns0:v>
      </ns0:c>
      <ns0:c r="M91" s="95"/>
      <ns0:c r="N91" s="94">
        <ns0:v>0</ns0:v>
      </ns0:c>
      <ns0:c r="O91" s="95"/>
      <ns0:c r="P91" s="94"/>
      <ns0:c r="Q91" s="95"/>
      <ns0:c r="R91" s="176"/>
      <ns0:c r="S91" s="24" t="s">
        <ns0:v>12</ns0:v>
      </ns0:c>
    </ns0:row>
    <ns0:row r="92" spans="1:21" s="1" customFormat="1" ht="15" customHeight="1" ns3:dyDescent="0.25">
      <ns0:c r="A92" s="159"/>
      <ns0:c r="B92" s="160"/>
      <ns0:c r="C92" s="155" t="s">
        <ns0:v>17</ns0:v>
      </ns0:c>
      <ns0:c r="D92" s="92"/>
      <ns0:c r="E92" s="93"/>
      <ns0:c r="F92" s="92"/>
      <ns0:c r="G92" s="93"/>
      <ns0:c r="H92" s="92"/>
      <ns0:c r="I92" s="93"/>
      <ns0:c r="J92" s="92"/>
      <ns0:c r="K92" s="93"/>
      <ns0:c r="L92" s="92"/>
      <ns0:c r="M92" s="93"/>
      <ns0:c r="N92" s="92"/>
      <ns0:c r="O92" s="93"/>
      <ns0:c r="P92" s="92"/>
      <ns0:c r="Q92" s="93"/>
      <ns0:c r="R92" s="177">
        <ns0:f>SUM(D94:P94)</ns0:f>
        <ns0:v>0</ns0:v>
      </ns0:c>
      <ns0:c r="S92" s="25" t="s">
        <ns0:v>8</ns0:v>
      </ns0:c>
    </ns0:row>
    <ns0:row r="93" spans="1:21" s="1" customFormat="1" ht="15" customHeight="1" ns3:dyDescent="0.25">
      <ns0:c r="A93" s="141"/>
      <ns0:c r="B93" s="142"/>
      <ns0:c r="C93" s="156"/>
      <ns0:c r="D93" s="92"/>
      <ns0:c r="E93" s="93"/>
      <ns0:c r="F93" s="92"/>
      <ns0:c r="G93" s="93"/>
      <ns0:c r="H93" s="92"/>
      <ns0:c r="I93" s="93"/>
      <ns0:c r="J93" s="92"/>
      <ns0:c r="K93" s="93"/>
      <ns0:c r="L93" s="92"/>
      <ns0:c r="M93" s="93"/>
      <ns0:c r="N93" s="92"/>
      <ns0:c r="O93" s="93"/>
      <ns0:c r="P93" s="92"/>
      <ns0:c r="Q93" s="93"/>
      <ns0:c r="R93" s="175"/>
      <ns0:c r="S93" s="25" t="s">
        <ns0:v>9</ns0:v>
      </ns0:c>
      <ns0:c r="U93" s="34"/>
    </ns0:row>
    <ns0:row r="94" spans="1:21" s="1" customFormat="1" ht="15" customHeight="1" thickBot="1" ns3:dyDescent="0.3">
      <ns0:c r="A94" s="148"/>
      <ns0:c r="B94" s="149"/>
      <ns0:c r="C94" s="157"/>
      <ns0:c r="D94" s="94">
        <ns0:f>IF((OR(D93="",D92="")),0,IF((D93&lt;D92),((D93-D92)*24)+24,(D93-D92)*24))</ns0:f>
        <ns0:v>0</ns0:v>
      </ns0:c>
      <ns0:c r="E94" s="95"/>
      <ns0:c r="F94" s="94">
        <ns0:f t="shared" ref="F94" si="152">IF((OR(F93="",F92="")),0,IF((F93&lt;F92),((F93-F92)*24)+24,(F93-F92)*24))</ns0:f>
        <ns0:v>0</ns0:v>
      </ns0:c>
      <ns0:c r="G94" s="95"/>
      <ns0:c r="H94" s="94">
        <ns0:f t="shared" ref="H94" si="153">IF((OR(H93="",H92="")),0,IF((H93&lt;H92),((H93-H92)*24)+24,(H93-H92)*24))</ns0:f>
        <ns0:v>0</ns0:v>
      </ns0:c>
      <ns0:c r="I94" s="95"/>
      <ns0:c r="J94" s="94">
        <ns0:f t="shared" ref="J94" si="154">IF((OR(J93="",J92="")),0,IF((J93&lt;J92),((J93-J92)*24)+24,(J93-J92)*24))</ns0:f>
        <ns0:v>0</ns0:v>
      </ns0:c>
      <ns0:c r="K94" s="95"/>
      <ns0:c r="L94" s="94">
        <ns0:f>IF((OR(L93="",L92="")),0,IF((L93&lt;L92),((L93-L92)*24)+24,(L93-L92)*24))</ns0:f>
        <ns0:v>0</ns0:v>
      </ns0:c>
      <ns0:c r="M94" s="95"/>
      <ns0:c r="N94" s="94">
        <ns0:f t="shared" ref="N94" si="155">IF((OR(N93="",N92="")),0,IF((N93&lt;N92),((N93-N92)*24)+24,(N93-N92)*24))</ns0:f>
        <ns0:v>0</ns0:v>
      </ns0:c>
      <ns0:c r="O94" s="95"/>
      <ns0:c r="P94" s="94">
        <ns0:f t="shared" ref="P94" si="156">IF((OR(P93="",P92="")),0,IF((P93&lt;P92),((P93-P92)*24)+24,(P93-P92)*24))</ns0:f>
        <ns0:v>0</ns0:v>
      </ns0:c>
      <ns0:c r="Q94" s="95"/>
      <ns0:c r="R94" s="176"/>
      <ns0:c r="S94" s="27" t="s">
        <ns0:v>12</ns0:v>
      </ns0:c>
      <ns0:c r="U94" s="34"/>
    </ns0:row>
    <ns0:row r="95" spans="1:21" s="1" customFormat="1" ht="15" customHeight="1" thickBot="1" ns3:dyDescent="0.3">
      <ns0:c r="A95" s="145" t="s">
        <ns0:v>18</ns0:v>
      </ns0:c>
      <ns0:c r="B95" s="146"/>
      <ns0:c r="C95" s="147"/>
      <ns0:c r="D95" s="96">
        <ns0:f>D94+D91+D88</ns0:f>
        <ns0:v>8</ns0:v>
      </ns0:c>
      <ns0:c r="E95" s="97"/>
      <ns0:c r="F95" s="96">
        <ns0:f>F94+F91+F88</ns0:f>
        <ns0:v>0</ns0:v>
      </ns0:c>
      <ns0:c r="G95" s="97"/>
      <ns0:c r="H95" s="96">
        <ns0:f t="shared" ref="H95" si="157">H94+H91+H88</ns0:f>
        <ns0:v>8</ns0:v>
      </ns0:c>
      <ns0:c r="I95" s="97"/>
      <ns0:c r="J95" s="96">
        <ns0:f t="shared" ref="J95" si="158">J94+J91+J88</ns0:f>
        <ns0:v>8</ns0:v>
      </ns0:c>
      <ns0:c r="K95" s="97"/>
      <ns0:c r="L95" s="96">
        <ns0:f t="shared" ref="L95" si="159">L94+L91+L88</ns0:f>
        <ns0:v>8</ns0:v>
      </ns0:c>
      <ns0:c r="M95" s="97"/>
      <ns0:c r="N95" s="96">
        <ns0:f t="shared" ref="N95" si="160">N94+N91+N88</ns0:f>
        <ns0:v>8</ns0:v>
      </ns0:c>
      <ns0:c r="O95" s="97"/>
      <ns0:c r="P95" s="96">
        <ns0:f t="shared" ref="P95" si="161">P94+P91+P88</ns0:f>
        <ns0:v>0</ns0:v>
      </ns0:c>
      <ns0:c r="Q95" s="97"/>
      <ns0:c r="R95" s="28">
        <ns0:f>R92+R89+R86</ns0:f>
        <ns0:v>40</ns0:v>
      </ns0:c>
      <ns0:c r="S95" s="35" t="s">
        <ns0:v>12</ns0:v>
      </ns0:c>
    </ns0:row>
    <ns0:row r="96" spans="1:21" s="1" customFormat="1" ht="15" customHeight="1" ns3:dyDescent="0.25">
      <ns0:c r="A96" s="161" t="s">
        <ns0:v>6</ns0:v>
      </ns0:c>
      <ns0:c r="B96" s="162"/>
      <ns0:c r="C96" s="158" t="s">
        <ns0:v>7</ns0:v>
      </ns0:c>
      <ns0:c r="D96" s="100">
        <ns0:v>0.25</ns0:v>
      </ns0:c>
      <ns0:c r="E96" s="101"/>
      <ns0:c r="F96" s="100">
        <ns0:v>0.25</ns0:v>
      </ns0:c>
      <ns0:c r="G96" s="101"/>
      <ns0:c r="H96" s="100" t="s">
        <ns0:v>69</ns0:v>
      </ns0:c>
      <ns0:c r="I96" s="101"/>
      <ns0:c r="J96" s="100" t="s">
        <ns0:v>69</ns0:v>
      </ns0:c>
      <ns0:c r="K96" s="101"/>
      <ns0:c r="L96" s="100">
        <ns0:v>0.25</ns0:v>
      </ns0:c>
      <ns0:c r="M96" s="101"/>
      <ns0:c r="N96" s="100">
        <ns0:v>0.25</ns0:v>
      </ns0:c>
      <ns0:c r="O96" s="101"/>
      <ns0:c r="P96" s="100" t="s">
        <ns0:v>76</ns0:v>
      </ns0:c>
      <ns0:c r="Q96" s="101"/>
      <ns0:c r="R96" s="174">
        <ns0:f>SUM(D98:P98)</ns0:f>
        <ns0:v>32</ns0:v>
      </ns0:c>
      <ns0:c r="S96" s="20" t="s">
        <ns0:v>8</ns0:v>
      </ns0:c>
    </ns0:row>
    <ns0:row r="97" spans="1:21" s="1" customFormat="1" ht="15" customHeight="1" ns3:dyDescent="0.2">
      <ns0:c r="A97" s="106" t="s">
        <ns0:v>61</ns0:v>
      </ns0:c>
      <ns0:c r="B97" s="107"/>
      <ns0:c r="C97" s="156"/>
      <ns0:c r="D97" s="92">
        <ns0:v>0.58333333333333337</ns0:v>
      </ns0:c>
      <ns0:c r="E97" s="93"/>
      <ns0:c r="F97" s="92">
        <ns0:v>0.58333333333333337</ns0:v>
      </ns0:c>
      <ns0:c r="G97" s="93"/>
      <ns0:c r="H97" s="92"/>
      <ns0:c r="I97" s="93"/>
      <ns0:c r="J97" s="92"/>
      <ns0:c r="K97" s="93"/>
      <ns0:c r="L97" s="92">
        <ns0:v>0.58333333333333337</ns0:v>
      </ns0:c>
      <ns0:c r="M97" s="93"/>
      <ns0:c r="N97" s="92">
        <ns0:v>0.58333333333333337</ns0:v>
      </ns0:c>
      <ns0:c r="O97" s="93"/>
      <ns0:c r="P97" s="92"/>
      <ns0:c r="Q97" s="93"/>
      <ns0:c r="R97" s="175"/>
      <ns0:c r="S97" s="36" t="s">
        <ns0:v>9</ns0:v>
      </ns0:c>
    </ns0:row>
    <ns0:row r="98" spans="1:21" s="1" customFormat="1" ht="15" customHeight="1" ns3:dyDescent="0.25">
      <ns0:c r="A98" s="22" t="s">
        <ns0:v>10</ns0:v>
      </ns0:c>
      <ns0:c r="B98" s="23" t="s">
        <ns0:v>11</ns0:v>
      </ns0:c>
      <ns0:c r="C98" s="157"/>
      <ns0:c r="D98" s="94">
        <ns0:f>IF((OR(D97="",D96="")),0,IF((D97&lt;D96),((D97-D96)*24)+24,(D97-D96)*24))</ns0:f>
        <ns0:v>8</ns0:v>
      </ns0:c>
      <ns0:c r="E98" s="95"/>
      <ns0:c r="F98" s="94">
        <ns0:f>IF((OR(F97="",F96="")),0,IF((F97&lt;F96),((F97-F96)*24)+24,(F97-F96)*24))</ns0:f>
        <ns0:v>8</ns0:v>
      </ns0:c>
      <ns0:c r="G98" s="95"/>
      <ns0:c r="H98" s="94">
        <ns0:f t="shared" ref="H98:J98" si="162">IF((OR(H97="",H96="")),0,IF((H97&lt;H96),((H97-H96)*24)+24,(H97-H96)*24))</ns0:f>
        <ns0:v>0</ns0:v>
      </ns0:c>
      <ns0:c r="I98" s="95"/>
      <ns0:c r="J98" s="94">
        <ns0:f t="shared" si="162"/>
        <ns0:v>0</ns0:v>
      </ns0:c>
      <ns0:c r="K98" s="95"/>
      <ns0:c r="L98" s="94">
        <ns0:f t="shared" ref="L98" si="163">IF((OR(L97="",L96="")),0,IF((L97&lt;L96),((L97-L96)*24)+24,(L97-L96)*24))</ns0:f>
        <ns0:v>8</ns0:v>
      </ns0:c>
      <ns0:c r="M98" s="95"/>
      <ns0:c r="N98" s="94">
        <ns0:f t="shared" ref="N98" si="164">IF((OR(N97="",N96="")),0,IF((N97&lt;N96),((N97-N96)*24)+24,(N97-N96)*24))</ns0:f>
        <ns0:v>8</ns0:v>
      </ns0:c>
      <ns0:c r="O98" s="95"/>
      <ns0:c r="P98" s="94">
        <ns0:f t="shared" ref="P98" si="165">IF((OR(P97="",P96="")),0,IF((P97&lt;P96),((P97-P96)*24)+24,(P97-P96)*24))</ns0:f>
        <ns0:v>0</ns0:v>
      </ns0:c>
      <ns0:c r="Q98" s="95"/>
      <ns0:c r="R98" s="176"/>
      <ns0:c r="S98" s="24" t="s">
        <ns0:v>12</ns0:v>
      </ns0:c>
    </ns0:row>
    <ns0:row r="99" spans="1:21" s="1" customFormat="1" ht="15" customHeight="1" ns3:dyDescent="0.25">
      <ns0:c r="A99" s="57" t="s">
        <ns0:v>64</ns0:v>
      </ns0:c>
      <ns0:c r="B99" s="58" t="s">
        <ns0:v>53</ns0:v>
      </ns0:c>
      <ns0:c r="C99" s="155" t="s">
        <ns0:v>15</ns0:v>
      </ns0:c>
      <ns0:c r="D99" s="100"/>
      <ns0:c r="E99" s="101"/>
      <ns0:c r="F99" s="92"/>
      <ns0:c r="G99" s="93"/>
      <ns0:c r="H99" s="92"/>
      <ns0:c r="I99" s="93"/>
      <ns0:c r="J99" s="92"/>
      <ns0:c r="K99" s="93"/>
      <ns0:c r="L99" s="92"/>
      <ns0:c r="M99" s="93"/>
      <ns0:c r="N99" s="92"/>
      <ns0:c r="O99" s="93"/>
      <ns0:c r="P99" s="92"/>
      <ns0:c r="Q99" s="93"/>
      <ns0:c r="R99" s="177">
        <ns0:f>SUM(D101:P101)</ns0:f>
        <ns0:v>0</ns0:v>
      </ns0:c>
      <ns0:c r="S99" s="37" t="s">
        <ns0:v>8</ns0:v>
      </ns0:c>
    </ns0:row>
    <ns0:row r="100" spans="1:21" s="1" customFormat="1" ht="15" customHeight="1" ns3:dyDescent="0.25">
      <ns0:c r="A100" s="143" t="s">
        <ns0:v>16</ns0:v>
      </ns0:c>
      <ns0:c r="B100" s="144"/>
      <ns0:c r="C100" s="156"/>
      <ns0:c r="D100" s="92"/>
      <ns0:c r="E100" s="93"/>
      <ns0:c r="F100" s="92"/>
      <ns0:c r="G100" s="93"/>
      <ns0:c r="H100" s="92"/>
      <ns0:c r="I100" s="93"/>
      <ns0:c r="J100" s="92"/>
      <ns0:c r="K100" s="93"/>
      <ns0:c r="L100" s="92"/>
      <ns0:c r="M100" s="93"/>
      <ns0:c r="N100" s="92"/>
      <ns0:c r="O100" s="93"/>
      <ns0:c r="P100" s="92"/>
      <ns0:c r="Q100" s="93"/>
      <ns0:c r="R100" s="175"/>
      <ns0:c r="S100" s="25" t="s">
        <ns0:v>9</ns0:v>
      </ns0:c>
    </ns0:row>
    <ns0:row r="101" spans="1:21" s="1" customFormat="1" ht="15" customHeight="1" ns3:dyDescent="0.25">
      <ns0:c r="A101" s="141" t="s">
        <ns0:v>96</ns0:v>
      </ns0:c>
      <ns0:c r="B101" s="150"/>
      <ns0:c r="C101" s="157"/>
      <ns0:c r="D101" s="94">
        <ns0:f>IF((OR(D100="",D99="")),0,IF((D100&lt;D99),((D100-D99)*24)+24,(D100-D99)*24))</ns0:f>
        <ns0:v>0</ns0:v>
      </ns0:c>
      <ns0:c r="E101" s="95"/>
      <ns0:c r="F101" s="94">
        <ns0:f t="shared" ref="F101" si="166">IF((OR(F100="",F99="")),0,IF((F100&lt;F99),((F100-F99)*24)+24,(F100-F99)*24))</ns0:f>
        <ns0:v>0</ns0:v>
      </ns0:c>
      <ns0:c r="G101" s="95"/>
      <ns0:c r="H101" s="94">
        <ns0:f t="shared" ref="H101" si="167">IF((OR(H100="",H99="")),0,IF((H100&lt;H99),((H100-H99)*24)+24,(H100-H99)*24))</ns0:f>
        <ns0:v>0</ns0:v>
      </ns0:c>
      <ns0:c r="I101" s="95"/>
      <ns0:c r="J101" s="94">
        <ns0:f t="shared" ref="J101" si="168">IF((OR(J100="",J99="")),0,IF((J100&lt;J99),((J100-J99)*24)+24,(J100-J99)*24))</ns0:f>
        <ns0:v>0</ns0:v>
      </ns0:c>
      <ns0:c r="K101" s="95"/>
      <ns0:c r="L101" s="94">
        <ns0:f t="shared" ref="L101" si="169">IF((OR(L100="",L99="")),0,IF((L100&lt;L99),((L100-L99)*24)+24,(L100-L99)*24))</ns0:f>
        <ns0:v>0</ns0:v>
      </ns0:c>
      <ns0:c r="M101" s="95"/>
      <ns0:c r="N101" s="94">
        <ns0:f t="shared" ref="N101" si="170">IF((OR(N100="",N99="")),0,IF((N100&lt;N99),((N100-N99)*24)+24,(N100-N99)*24))</ns0:f>
        <ns0:v>0</ns0:v>
      </ns0:c>
      <ns0:c r="O101" s="95"/>
      <ns0:c r="P101" s="94">
        <ns0:f t="shared" ref="P101" si="171">IF((OR(P100="",P99="")),0,IF((P100&lt;P99),((P100-P99)*24)+24,(P100-P99)*24))</ns0:f>
        <ns0:v>0</ns0:v>
      </ns0:c>
      <ns0:c r="Q101" s="95"/>
      <ns0:c r="R101" s="176"/>
      <ns0:c r="S101" s="24" t="s">
        <ns0:v>12</ns0:v>
      </ns0:c>
    </ns0:row>
    <ns0:row r="102" spans="1:21" s="1" customFormat="1" ht="15" customHeight="1" ns3:dyDescent="0.25">
      <ns0:c r="A102" s="159"/>
      <ns0:c r="B102" s="160"/>
      <ns0:c r="C102" s="155" t="s">
        <ns0:v>17</ns0:v>
      </ns0:c>
      <ns0:c r="D102" s="92"/>
      <ns0:c r="E102" s="93"/>
      <ns0:c r="F102" s="92"/>
      <ns0:c r="G102" s="93"/>
      <ns0:c r="H102" s="92"/>
      <ns0:c r="I102" s="93"/>
      <ns0:c r="J102" s="92"/>
      <ns0:c r="K102" s="93"/>
      <ns0:c r="L102" s="92"/>
      <ns0:c r="M102" s="93"/>
      <ns0:c r="N102" s="92"/>
      <ns0:c r="O102" s="93"/>
      <ns0:c r="P102" s="92"/>
      <ns0:c r="Q102" s="93"/>
      <ns0:c r="R102" s="177">
        <ns0:f>SUM(D104:P104)</ns0:f>
        <ns0:v>0</ns0:v>
      </ns0:c>
      <ns0:c r="S102" s="25" t="s">
        <ns0:v>8</ns0:v>
      </ns0:c>
    </ns0:row>
    <ns0:row r="103" spans="1:21" s="1" customFormat="1" ht="15" customHeight="1" ns3:dyDescent="0.25">
      <ns0:c r="A103" s="141"/>
      <ns0:c r="B103" s="142"/>
      <ns0:c r="C103" s="156"/>
      <ns0:c r="D103" s="92"/>
      <ns0:c r="E103" s="93"/>
      <ns0:c r="F103" s="92"/>
      <ns0:c r="G103" s="93"/>
      <ns0:c r="H103" s="92"/>
      <ns0:c r="I103" s="93"/>
      <ns0:c r="J103" s="92"/>
      <ns0:c r="K103" s="93"/>
      <ns0:c r="L103" s="92"/>
      <ns0:c r="M103" s="93"/>
      <ns0:c r="N103" s="92"/>
      <ns0:c r="O103" s="93"/>
      <ns0:c r="P103" s="92"/>
      <ns0:c r="Q103" s="93"/>
      <ns0:c r="R103" s="175"/>
      <ns0:c r="S103" s="25" t="s">
        <ns0:v>9</ns0:v>
      </ns0:c>
      <ns0:c r="U103" s="34"/>
    </ns0:row>
    <ns0:row r="104" spans="1:21" s="1" customFormat="1" ht="15" customHeight="1" thickBot="1" ns3:dyDescent="0.3">
      <ns0:c r="A104" s="148"/>
      <ns0:c r="B104" s="149"/>
      <ns0:c r="C104" s="157"/>
      <ns0:c r="D104" s="94">
        <ns0:v>0</ns0:v>
      </ns0:c>
      <ns0:c r="E104" s="95"/>
      <ns0:c r="F104" s="94">
        <ns0:v>0</ns0:v>
      </ns0:c>
      <ns0:c r="G104" s="95"/>
      <ns0:c r="H104" s="94">
        <ns0:v>0</ns0:v>
      </ns0:c>
      <ns0:c r="I104" s="95"/>
      <ns0:c r="J104" s="94">
        <ns0:v>0</ns0:v>
      </ns0:c>
      <ns0:c r="K104" s="95"/>
      <ns0:c r="L104" s="94">
        <ns0:v>0</ns0:v>
      </ns0:c>
      <ns0:c r="M104" s="95"/>
      <ns0:c r="N104" s="94">
        <ns0:v>0</ns0:v>
      </ns0:c>
      <ns0:c r="O104" s="95"/>
      <ns0:c r="P104" s="94">
        <ns0:v>0</ns0:v>
      </ns0:c>
      <ns0:c r="Q104" s="95"/>
      <ns0:c r="R104" s="176"/>
      <ns0:c r="S104" s="27" t="s">
        <ns0:v>12</ns0:v>
      </ns0:c>
      <ns0:c r="U104" s="34"/>
    </ns0:row>
    <ns0:row r="105" spans="1:21" s="1" customFormat="1" ht="15" customHeight="1" thickBot="1" ns3:dyDescent="0.3">
      <ns0:c r="A105" s="145" t="s">
        <ns0:v>18</ns0:v>
      </ns0:c>
      <ns0:c r="B105" s="146"/>
      <ns0:c r="C105" s="147"/>
      <ns0:c r="D105" s="96">
        <ns0:f>D104+D101+D98</ns0:f>
        <ns0:v>8</ns0:v>
      </ns0:c>
      <ns0:c r="E105" s="97"/>
      <ns0:c r="F105" s="96">
        <ns0:f>F104+F101+F98</ns0:f>
        <ns0:v>8</ns0:v>
      </ns0:c>
      <ns0:c r="G105" s="97"/>
      <ns0:c r="H105" s="96">
        <ns0:f t="shared" ref="H105" si="172">H104+H101+H98</ns0:f>
        <ns0:v>0</ns0:v>
      </ns0:c>
      <ns0:c r="I105" s="97"/>
      <ns0:c r="J105" s="96">
        <ns0:f t="shared" ref="J105" si="173">J104+J101+J98</ns0:f>
        <ns0:v>0</ns0:v>
      </ns0:c>
      <ns0:c r="K105" s="97"/>
      <ns0:c r="L105" s="96">
        <ns0:f t="shared" ref="L105" si="174">L104+L101+L98</ns0:f>
        <ns0:v>8</ns0:v>
      </ns0:c>
      <ns0:c r="M105" s="97"/>
      <ns0:c r="N105" s="96">
        <ns0:f t="shared" ref="N105" si="175">N104+N101+N98</ns0:f>
        <ns0:v>8</ns0:v>
      </ns0:c>
      <ns0:c r="O105" s="97"/>
      <ns0:c r="P105" s="96">
        <ns0:f t="shared" ref="P105" si="176">P104+P101+P98</ns0:f>
        <ns0:v>0</ns0:v>
      </ns0:c>
      <ns0:c r="Q105" s="97"/>
      <ns0:c r="R105" s="28">
        <ns0:f>R102+R99+R96</ns0:f>
        <ns0:v>32</ns0:v>
      </ns0:c>
      <ns0:c r="S105" s="29" t="s">
        <ns0:v>12</ns0:v>
      </ns0:c>
    </ns0:row>
    <ns0:row r="106" spans="1:21" s="1" customFormat="1" ht="15" customHeight="1" ns3:dyDescent="0.25">
      <ns0:c r="A106" s="8"/>
      <ns0:c r="B106" s="2"/>
      <ns0:c r="C106" s="3"/>
      <ns0:c r="D106" s="3"/>
      <ns0:c r="E106" s="3"/>
      <ns0:c r="F106" s="3"/>
      <ns0:c r="G106" s="3"/>
      <ns0:c r="H106" s="3"/>
      <ns0:c r="I106" s="9"/>
      <ns0:c r="J106" s="4"/>
      <ns0:c r="K106" s="4" t="s">
        <ns0:v>0</ns0:v>
      </ns0:c>
      <ns0:c r="L106" s="84" t="str">
        <ns0:f>L1</ns0:f>
        <ns0:v>John Boerder</ns0:v>
      </ns0:c>
      <ns0:c r="M106" s="84"/>
      <ns0:c r="N106" s="84"/>
      <ns0:c r="O106" s="84"/>
      <ns0:c r="P106" s="84"/>
      <ns0:c r="Q106" s="3"/>
      <ns0:c r="R106" s="3"/>
      <ns0:c r="S106" s="3"/>
      <ns0:c r="T106" s="15"/>
    </ns0:row>
    <ns0:row r="107" spans="1:21" s="1" customFormat="1" ht="15" customHeight="1" ns3:dyDescent="0.3">
      <ns0:c r="A107" s="10" t="str">
        <ns0:f>A2</ns0:f>
        <ns0:v>CLIENT: PCA - Filer City, MI</ns0:v>
      </ns0:c>
      <ns0:c r="B107" s="11"/>
      <ns0:c r="C107" s="6"/>
      <ns0:c r="D107" s="6"/>
      <ns0:c r="E107" s="6"/>
      <ns0:c r="F107" s="6"/>
      <ns0:c r="G107" s="6"/>
      <ns0:c r="H107" s="6"/>
      <ns0:c r="I107" s="6"/>
      <ns0:c r="J107" s="5"/>
      <ns0:c r="K107" s="5" t="s">
        <ns0:v>1</ns0:v>
      </ns0:c>
      <ns0:c r="L107" s="85" t="str">
        <ns0:f>L2</ns0:f>
        <ns0:v>(231) 723-9951   Ext. 1331</ns0:v>
      </ns0:c>
      <ns0:c r="M107" s="85"/>
      <ns0:c r="N107" s="85"/>
      <ns0:c r="O107" s="85"/>
      <ns0:c r="P107" s="85"/>
      <ns0:c r="Q107" s="6" t="s">
        <ns0:v>2</ns0:v>
      </ns0:c>
      <ns0:c r="R107" s="16"/>
      <ns0:c r="S107" s="86">
        <ns0:f>S2</ns0:f>
        <ns0:v>46116</ns0:v>
      </ns0:c>
      <ns0:c r="T107" s="87"/>
    </ns0:row>
    <ns0:row r="108" spans="1:21" s="1" customFormat="1" ht="13.5" customHeight="1" thickBot="1" ns3:dyDescent="0.35">
      <ns0:c r="A108" s="12"/>
      <ns0:c r="B108" s="88"/>
      <ns0:c r="C108" s="88"/>
      <ns0:c r="D108" s="88"/>
      <ns0:c r="E108" s="88"/>
      <ns0:c r="F108" s="88"/>
      <ns0:c r="G108" s="88"/>
      <ns0:c r="H108" s="13"/>
      <ns0:c r="I108" s="14"/>
      <ns0:c r="J108" s="14"/>
      <ns0:c r="K108" s="14" t="s">
        <ns0:v>3</ns0:v>
      </ns0:c>
      <ns0:c r="L108" s="89" t="str">
        <ns0:f>L3</ns0:f>
        <ns0:v>(231) 388-5092</ns0:v>
      </ns0:c>
      <ns0:c r="M108" s="89"/>
      <ns0:c r="N108" s="89"/>
      <ns0:c r="O108" s="89"/>
      <ns0:c r="P108" s="89"/>
      <ns0:c r="Q108" s="90"/>
      <ns0:c r="R108" s="90"/>
      <ns0:c r="S108" s="90"/>
      <ns0:c r="T108" s="91"/>
    </ns0:row>
    <ns0:row r="109" spans="1:21" s="1" customFormat="1" ht="13.2" customHeight="1" thickBot="1" ns3:dyDescent="0.3">
      <ns0:c r="A109" s="206"/>
      <ns0:c r="B109" s="207"/>
      <ns0:c r="C109" s="208"/>
      <ns0:c r="D109" s="136" t="s">
        <ns0:v>4</ns0:v>
      </ns0:c>
      <ns0:c r="E109" s="137"/>
      <ns0:c r="F109" s="137"/>
      <ns0:c r="G109" s="137"/>
      <ns0:c r="H109" s="137"/>
      <ns0:c r="I109" s="137"/>
      <ns0:c r="J109" s="137"/>
      <ns0:c r="K109" s="137"/>
      <ns0:c r="L109" s="137"/>
      <ns0:c r="M109" s="137"/>
      <ns0:c r="N109" s="137"/>
      <ns0:c r="O109" s="137"/>
      <ns0:c r="P109" s="137"/>
      <ns0:c r="Q109" s="138"/>
      <ns0:c r="R109" s="17"/>
      <ns0:c r="S109" s="18"/>
      <ns0:c r="T109" s="18"/>
    </ns0:row>
    <ns0:row r="110" spans="1:21" s="1" customFormat="1" ht="13.2" customHeight="1" thickBot="1" ns3:dyDescent="0.3">
      <ns0:c r="A110" s="209"/>
      <ns0:c r="B110" s="210"/>
      <ns0:c r="C110" s="211"/>
      <ns0:c r="D110" s="102">
        <ns0:f>D5</ns0:f>
        <ns0:v>46110</ns0:v>
      </ns0:c>
      <ns0:c r="E110" s="104"/>
      <ns0:c r="F110" s="102">
        <ns0:f t="shared" ref="F110" si="177">F5</ns0:f>
        <ns0:v>46111</ns0:v>
      </ns0:c>
      <ns0:c r="G110" s="104"/>
      <ns0:c r="H110" s="102">
        <ns0:f t="shared" ref="H110" si="178">H5</ns0:f>
        <ns0:v>46112</ns0:v>
      </ns0:c>
      <ns0:c r="I110" s="104"/>
      <ns0:c r="J110" s="102">
        <ns0:f t="shared" ref="J110" si="179">J5</ns0:f>
        <ns0:v>46113</ns0:v>
      </ns0:c>
      <ns0:c r="K110" s="104"/>
      <ns0:c r="L110" s="102">
        <ns0:f t="shared" ref="L110" si="180">L5</ns0:f>
        <ns0:v>46114</ns0:v>
      </ns0:c>
      <ns0:c r="M110" s="104"/>
      <ns0:c r="N110" s="102">
        <ns0:f t="shared" ref="N110" si="181">N5</ns0:f>
        <ns0:v>46115</ns0:v>
      </ns0:c>
      <ns0:c r="O110" s="104"/>
      <ns0:c r="P110" s="102">
        <ns0:f t="shared" ref="P110" si="182">P5</ns0:f>
        <ns0:v>46116</ns0:v>
      </ns0:c>
      <ns0:c r="Q110" s="104"/>
      <ns0:c r="R110" s="19" t="s">
        <ns0:v>5</ns0:v>
      </ns0:c>
      <ns0:c r="S110" s="7"/>
      <ns0:c r="T110" s="7"/>
    </ns0:row>
    <ns0:row r="111" spans="1:21" s="1" customFormat="1" ht="15" customHeight="1" ns3:dyDescent="0.25">
      <ns0:c r="A111" s="161" t="s">
        <ns0:v>6</ns0:v>
      </ns0:c>
      <ns0:c r="B111" s="162"/>
      <ns0:c r="C111" s="158" t="s">
        <ns0:v>7</ns0:v>
      </ns0:c>
      <ns0:c r="D111" s="100">
        <ns0:v>0.58333333333333337</ns0:v>
      </ns0:c>
      <ns0:c r="E111" s="101"/>
      <ns0:c r="F111" s="100" t="s">
        <ns0:v>69</ns0:v>
      </ns0:c>
      <ns0:c r="G111" s="101"/>
      <ns0:c r="H111" s="100" t="s">
        <ns0:v>69</ns0:v>
      </ns0:c>
      <ns0:c r="I111" s="101"/>
      <ns0:c r="J111" s="100">
        <ns0:v>0.58333333333333337</ns0:v>
      </ns0:c>
      <ns0:c r="K111" s="101"/>
      <ns0:c r="L111" s="100">
        <ns0:v>0.58333333333333337</ns0:v>
      </ns0:c>
      <ns0:c r="M111" s="101"/>
      <ns0:c r="N111" s="100">
        <ns0:v>0.58333333333333337</ns0:v>
      </ns0:c>
      <ns0:c r="O111" s="101"/>
      <ns0:c r="P111" s="100">
        <ns0:v>0.25</ns0:v>
      </ns0:c>
      <ns0:c r="Q111" s="101"/>
      <ns0:c r="R111" s="174">
        <ns0:f>P113+N113+L113+J113+H113+F113+D113</ns0:f>
        <ns0:v>39.999999999999993</ns0:v>
      </ns0:c>
      <ns0:c r="S111" s="20" t="s">
        <ns0:v>8</ns0:v>
      </ns0:c>
    </ns0:row>
    <ns0:row r="112" spans="1:21" s="1" customFormat="1" ht="15" customHeight="1" ns3:dyDescent="0.2">
      <ns0:c r="A112" s="106" t="s">
        <ns0:v>66</ns0:v>
      </ns0:c>
      <ns0:c r="B112" s="107"/>
      <ns0:c r="C112" s="156"/>
      <ns0:c r="D112" s="92">
        <ns0:v>0.91666666666666663</ns0:v>
      </ns0:c>
      <ns0:c r="E112" s="93"/>
      <ns0:c r="F112" s="92"/>
      <ns0:c r="G112" s="93"/>
      <ns0:c r="H112" s="92"/>
      <ns0:c r="I112" s="93"/>
      <ns0:c r="J112" s="92">
        <ns0:v>0.91666666666666663</ns0:v>
      </ns0:c>
      <ns0:c r="K112" s="93"/>
      <ns0:c r="L112" s="92">
        <ns0:v>0.91666666666666663</ns0:v>
      </ns0:c>
      <ns0:c r="M112" s="93"/>
      <ns0:c r="N112" s="92">
        <ns0:v>0.91666666666666663</ns0:v>
      </ns0:c>
      <ns0:c r="O112" s="93"/>
      <ns0:c r="P112" s="92">
        <ns0:v>0.58333333333333337</ns0:v>
      </ns0:c>
      <ns0:c r="Q112" s="93"/>
      <ns0:c r="R112" s="175"/>
      <ns0:c r="S112" s="25" t="s">
        <ns0:v>9</ns0:v>
      </ns0:c>
    </ns0:row>
    <ns0:row r="113" spans="1:19" s="1" customFormat="1" ht="15" customHeight="1" ns3:dyDescent="0.25">
      <ns0:c r="A113" s="22" t="s">
        <ns0:v>10</ns0:v>
      </ns0:c>
      <ns0:c r="B113" s="23" t="s">
        <ns0:v>11</ns0:v>
      </ns0:c>
      <ns0:c r="C113" s="157"/>
      <ns0:c r="D113" s="94">
        <ns0:f>IF((OR(D112="",D111="")),0,IF((D112&lt;D111),((D112-D111)*24)+24,(D112-D111)*24))</ns0:f>
        <ns0:v>7.9999999999999982</ns0:v>
      </ns0:c>
      <ns0:c r="E113" s="95"/>
      <ns0:c r="F113" s="94">
        <ns0:f t="shared" ref="F113" si="183">IF((OR(F112="",F111="")),0,IF((F112&lt;F111),((F112-F111)*24)+24,(F112-F111)*24))</ns0:f>
        <ns0:v>0</ns0:v>
      </ns0:c>
      <ns0:c r="G113" s="95"/>
      <ns0:c r="H113" s="94">
        <ns0:f t="shared" ref="H113" si="184">IF((OR(H112="",H111="")),0,IF((H112&lt;H111),((H112-H111)*24)+24,(H112-H111)*24))</ns0:f>
        <ns0:v>0</ns0:v>
      </ns0:c>
      <ns0:c r="I113" s="95"/>
      <ns0:c r="J113" s="94">
        <ns0:f t="shared" ref="J113" si="185">IF((OR(J112="",J111="")),0,IF((J112&lt;J111),((J112-J111)*24)+24,(J112-J111)*24))</ns0:f>
        <ns0:v>7.9999999999999982</ns0:v>
      </ns0:c>
      <ns0:c r="K113" s="95"/>
      <ns0:c r="L113" s="94">
        <ns0:f t="shared" ref="L113" si="186">IF((OR(L112="",L111="")),0,IF((L112&lt;L111),((L112-L111)*24)+24,(L112-L111)*24))</ns0:f>
        <ns0:v>7.9999999999999982</ns0:v>
      </ns0:c>
      <ns0:c r="M113" s="95"/>
      <ns0:c r="N113" s="94">
        <ns0:f t="shared" ref="N113" si="187">IF((OR(N112="",N111="")),0,IF((N112&lt;N111),((N112-N111)*24)+24,(N112-N111)*24))</ns0:f>
        <ns0:v>7.9999999999999982</ns0:v>
      </ns0:c>
      <ns0:c r="O113" s="95"/>
      <ns0:c r="P113" s="94">
        <ns0:f t="shared" ref="P113" si="188">IF((OR(P112="",P111="")),0,IF((P112&lt;P111),((P112-P111)*24)+24,(P112-P111)*24))</ns0:f>
        <ns0:v>8</ns0:v>
      </ns0:c>
      <ns0:c r="Q113" s="95"/>
      <ns0:c r="R113" s="176"/>
      <ns0:c r="S113" s="24" t="s">
        <ns0:v>12</ns0:v>
      </ns0:c>
    </ns0:row>
    <ns0:row r="114" spans="1:19" s="1" customFormat="1" ht="15" customHeight="1" ns3:dyDescent="0.25">
      <ns0:c r="A114" s="57" t="s">
        <ns0:v>19</ns0:v>
      </ns0:c>
      <ns0:c r="B114" s="58" t="s">
        <ns0:v>53</ns0:v>
      </ns0:c>
      <ns0:c r="C114" s="155" t="s">
        <ns0:v>15</ns0:v>
      </ns0:c>
      <ns0:c r="D114" s="92"/>
      <ns0:c r="E114" s="93"/>
      <ns0:c r="F114" s="92"/>
      <ns0:c r="G114" s="93"/>
      <ns0:c r="H114" s="92"/>
      <ns0:c r="I114" s="93"/>
      <ns0:c r="J114" s="92"/>
      <ns0:c r="K114" s="93"/>
      <ns0:c r="L114" s="92"/>
      <ns0:c r="M114" s="93"/>
      <ns0:c r="N114" s="92"/>
      <ns0:c r="O114" s="93"/>
      <ns0:c r="P114" s="92">
        <ns0:v>0.58333333333333337</ns0:v>
      </ns0:c>
      <ns0:c r="Q114" s="93"/>
      <ns0:c r="R114" s="177">
        <ns0:f>SUM(D116:P116)</ns0:f>
        <ns0:v>3.9999999999999991</ns0:v>
      </ns0:c>
      <ns0:c r="S114" s="25" t="s">
        <ns0:v>8</ns0:v>
      </ns0:c>
    </ns0:row>
    <ns0:row r="115" spans="1:19" s="1" customFormat="1" ht="15" customHeight="1" ns3:dyDescent="0.25">
      <ns0:c r="A115" s="143" t="s">
        <ns0:v>16</ns0:v>
      </ns0:c>
      <ns0:c r="B115" s="144"/>
      <ns0:c r="C115" s="156"/>
      <ns0:c r="D115" s="92"/>
      <ns0:c r="E115" s="93"/>
      <ns0:c r="F115" s="92"/>
      <ns0:c r="G115" s="93"/>
      <ns0:c r="H115" s="92"/>
      <ns0:c r="I115" s="93"/>
      <ns0:c r="J115" s="92"/>
      <ns0:c r="K115" s="93"/>
      <ns0:c r="L115" s="92"/>
      <ns0:c r="M115" s="93"/>
      <ns0:c r="N115" s="92"/>
      <ns0:c r="O115" s="93"/>
      <ns0:c r="P115" s="92">
        <ns0:v>0.75</ns0:v>
      </ns0:c>
      <ns0:c r="Q115" s="93"/>
      <ns0:c r="R115" s="175"/>
      <ns0:c r="S115" s="25" t="s">
        <ns0:v>9</ns0:v>
      </ns0:c>
    </ns0:row>
    <ns0:row r="116" spans="1:19" s="1" customFormat="1" ht="15" customHeight="1" ns3:dyDescent="0.2">
      <ns0:c r="A116" s="153" t="s">
        <ns0:v>77</ns0:v>
      </ns0:c>
      <ns0:c r="B116" s="154"/>
      <ns0:c r="C116" s="157"/>
      <ns0:c r="D116" s="94">
        <ns0:f>IF((OR(D115="",D114="")),0,IF((D115&lt;D114),((D115-D114)*24)+24,(D115-D114)*24))</ns0:f>
        <ns0:v>0</ns0:v>
      </ns0:c>
      <ns0:c r="E116" s="95"/>
      <ns0:c r="F116" s="94">
        <ns0:f t="shared" ref="F116" si="189">IF((OR(F115="",F114="")),0,IF((F115&lt;F114),((F115-F114)*24)+24,(F115-F114)*24))</ns0:f>
        <ns0:v>0</ns0:v>
      </ns0:c>
      <ns0:c r="G116" s="95"/>
      <ns0:c r="H116" s="94">
        <ns0:f t="shared" ref="H116" si="190">IF((OR(H115="",H114="")),0,IF((H115&lt;H114),((H115-H114)*24)+24,(H115-H114)*24))</ns0:f>
        <ns0:v>0</ns0:v>
      </ns0:c>
      <ns0:c r="I116" s="95"/>
      <ns0:c r="J116" s="94">
        <ns0:f t="shared" ref="J116" si="191">IF((OR(J115="",J114="")),0,IF((J115&lt;J114),((J115-J114)*24)+24,(J115-J114)*24))</ns0:f>
        <ns0:v>0</ns0:v>
      </ns0:c>
      <ns0:c r="K116" s="95"/>
      <ns0:c r="L116" s="94">
        <ns0:f t="shared" ref="L116" si="192">IF((OR(L115="",L114="")),0,IF((L115&lt;L114),((L115-L114)*24)+24,(L115-L114)*24))</ns0:f>
        <ns0:v>0</ns0:v>
      </ns0:c>
      <ns0:c r="M116" s="95"/>
      <ns0:c r="N116" s="94">
        <ns0:f t="shared" ref="N116" si="193">IF((OR(N115="",N114="")),0,IF((N115&lt;N114),((N115-N114)*24)+24,(N115-N114)*24))</ns0:f>
        <ns0:v>0</ns0:v>
      </ns0:c>
      <ns0:c r="O116" s="95"/>
      <ns0:c r="P116" s="94">
        <ns0:f t="shared" ref="P116" si="194">IF((OR(P115="",P114="")),0,IF((P115&lt;P114),((P115-P114)*24)+24,(P115-P114)*24))</ns0:f>
        <ns0:v>3.9999999999999991</ns0:v>
      </ns0:c>
      <ns0:c r="Q116" s="95"/>
      <ns0:c r="R116" s="176"/>
      <ns0:c r="S116" s="24" t="s">
        <ns0:v>12</ns0:v>
      </ns0:c>
    </ns0:row>
    <ns0:row r="117" spans="1:19" s="1" customFormat="1" ht="15" customHeight="1" ns3:dyDescent="0.25">
      <ns0:c r="A117" s="141" t="s">
        <ns0:v>89</ns0:v>
      </ns0:c>
      <ns0:c r="B117" s="142"/>
      <ns0:c r="C117" s="155" t="s">
        <ns0:v>17</ns0:v>
      </ns0:c>
      <ns0:c r="D117" s="92"/>
      <ns0:c r="E117" s="93"/>
      <ns0:c r="F117" s="92"/>
      <ns0:c r="G117" s="93"/>
      <ns0:c r="H117" s="92"/>
      <ns0:c r="I117" s="93"/>
      <ns0:c r="J117" s="92"/>
      <ns0:c r="K117" s="93"/>
      <ns0:c r="L117" s="92"/>
      <ns0:c r="M117" s="93"/>
      <ns0:c r="N117" s="92"/>
      <ns0:c r="O117" s="93"/>
      <ns0:c r="P117" s="92"/>
      <ns0:c r="Q117" s="93"/>
      <ns0:c r="R117" s="177">
        <ns0:f>SUM(D119:P119)</ns0:f>
        <ns0:v>0</ns0:v>
      </ns0:c>
      <ns0:c r="S117" s="25" t="s">
        <ns0:v>8</ns0:v>
      </ns0:c>
    </ns0:row>
    <ns0:row r="118" spans="1:19" s="1" customFormat="1" ht="15" customHeight="1" ns3:dyDescent="0.25">
      <ns0:c r="A118" s="141" t="s">
        <ns0:v>90</ns0:v>
      </ns0:c>
      <ns0:c r="B118" s="142"/>
      <ns0:c r="C118" s="156"/>
      <ns0:c r="D118" s="92"/>
      <ns0:c r="E118" s="93"/>
      <ns0:c r="F118" s="92"/>
      <ns0:c r="G118" s="93"/>
      <ns0:c r="H118" s="92"/>
      <ns0:c r="I118" s="93"/>
      <ns0:c r="J118" s="92"/>
      <ns0:c r="K118" s="93"/>
      <ns0:c r="L118" s="92"/>
      <ns0:c r="M118" s="93"/>
      <ns0:c r="N118" s="92"/>
      <ns0:c r="O118" s="93"/>
      <ns0:c r="P118" s="92"/>
      <ns0:c r="Q118" s="93"/>
      <ns0:c r="R118" s="175"/>
      <ns0:c r="S118" s="25" t="s">
        <ns0:v>9</ns0:v>
      </ns0:c>
    </ns0:row>
    <ns0:row r="119" spans="1:19" s="1" customFormat="1" ht="15" customHeight="1" thickBot="1" ns3:dyDescent="0.3">
      <ns0:c r="A119" s="148" t="s">
        <ns0:v>97</ns0:v>
      </ns0:c>
      <ns0:c r="B119" s="149"/>
      <ns0:c r="C119" s="157"/>
      <ns0:c r="D119" s="94">
        <ns0:f>IF((OR(D118="",D117="")),0,IF((D118&lt;D117),((D118-D117)*24)+24,(D118-D117)*24))</ns0:f>
        <ns0:v>0</ns0:v>
      </ns0:c>
      <ns0:c r="E119" s="95"/>
      <ns0:c r="F119" s="94">
        <ns0:f t="shared" ref="F119" si="195">IF((OR(F118="",F117="")),0,IF((F118&lt;F117),((F118-F117)*24)+24,(F118-F117)*24))</ns0:f>
        <ns0:v>0</ns0:v>
      </ns0:c>
      <ns0:c r="G119" s="95"/>
      <ns0:c r="H119" s="94">
        <ns0:f t="shared" ref="H119" si="196">IF((OR(H118="",H117="")),0,IF((H118&lt;H117),((H118-H117)*24)+24,(H118-H117)*24))</ns0:f>
        <ns0:v>0</ns0:v>
      </ns0:c>
      <ns0:c r="I119" s="95"/>
      <ns0:c r="J119" s="94">
        <ns0:f t="shared" ref="J119" si="197">IF((OR(J118="",J117="")),0,IF((J118&lt;J117),((J118-J117)*24)+24,(J118-J117)*24))</ns0:f>
        <ns0:v>0</ns0:v>
      </ns0:c>
      <ns0:c r="K119" s="95"/>
      <ns0:c r="L119" s="94"/>
      <ns0:c r="M119" s="95"/>
      <ns0:c r="N119" s="94">
        <ns0:f t="shared" ref="N119" si="198">IF((OR(N118="",N117="")),0,IF((N118&lt;N117),((N118-N117)*24)+24,(N118-N117)*24))</ns0:f>
        <ns0:v>0</ns0:v>
      </ns0:c>
      <ns0:c r="O119" s="95"/>
      <ns0:c r="P119" s="94">
        <ns0:f t="shared" ref="P119" si="199">IF((OR(P118="",P117="")),0,IF((P118&lt;P117),((P118-P117)*24)+24,(P118-P117)*24))</ns0:f>
        <ns0:v>0</ns0:v>
      </ns0:c>
      <ns0:c r="Q119" s="95"/>
      <ns0:c r="R119" s="176"/>
      <ns0:c r="S119" s="27" t="s">
        <ns0:v>12</ns0:v>
      </ns0:c>
    </ns0:row>
    <ns0:row r="120" spans="1:19" s="1" customFormat="1" ht="15" customHeight="1" ns3:dyDescent="0.25">
      <ns0:c r="A120" s="145" t="s">
        <ns0:v>18</ns0:v>
      </ns0:c>
      <ns0:c r="B120" s="146"/>
      <ns0:c r="C120" s="147"/>
      <ns0:c r="D120" s="96">
        <ns0:f>D119+D116+D113</ns0:f>
        <ns0:v>7.9999999999999982</ns0:v>
      </ns0:c>
      <ns0:c r="E120" s="97"/>
      <ns0:c r="F120" s="96">
        <ns0:f>F119+F116+F113</ns0:f>
        <ns0:v>0</ns0:v>
      </ns0:c>
      <ns0:c r="G120" s="97"/>
      <ns0:c r="H120" s="96">
        <ns0:f t="shared" ref="H120" si="200">H119+H116+H113</ns0:f>
        <ns0:v>0</ns0:v>
      </ns0:c>
      <ns0:c r="I120" s="97"/>
      <ns0:c r="J120" s="96">
        <ns0:f t="shared" ref="J120" si="201">J119+J116+J113</ns0:f>
        <ns0:v>7.9999999999999982</ns0:v>
      </ns0:c>
      <ns0:c r="K120" s="97"/>
      <ns0:c r="L120" s="96">
        <ns0:f t="shared" ref="L120" si="202">L119+L116+L113</ns0:f>
        <ns0:v>7.9999999999999982</ns0:v>
      </ns0:c>
      <ns0:c r="M120" s="97"/>
      <ns0:c r="N120" s="96">
        <ns0:f t="shared" ref="N120" si="203">N119+N116+N113</ns0:f>
        <ns0:v>7.9999999999999982</ns0:v>
      </ns0:c>
      <ns0:c r="O120" s="97"/>
      <ns0:c r="P120" s="96">
        <ns0:f t="shared" ref="P120" si="204">P119+P116+P113</ns0:f>
        <ns0:v>12</ns0:v>
      </ns0:c>
      <ns0:c r="Q120" s="97"/>
      <ns0:c r="R120" s="38">
        <ns0:f>R117+R114+R111</ns0:f>
        <ns0:v>43.999999999999993</ns0:v>
      </ns0:c>
      <ns0:c r="S120" s="32" t="s">
        <ns0:v>12</ns0:v>
      </ns0:c>
    </ns0:row>
    <ns0:row r="121" spans="1:19" s="1" customFormat="1" ht="15" customHeight="1" ns3:dyDescent="0.25">
      <ns0:c r="A121" s="161" t="s">
        <ns0:v>6</ns0:v>
      </ns0:c>
      <ns0:c r="B121" s="162"/>
      <ns0:c r="C121" s="158" t="s">
        <ns0:v>7</ns0:v>
      </ns0:c>
      <ns0:c r="D121" s="100" t="s">
        <ns0:v>69</ns0:v>
      </ns0:c>
      <ns0:c r="E121" s="101"/>
      <ns0:c r="F121" s="100" t="s">
        <ns0:v>69</ns0:v>
      </ns0:c>
      <ns0:c r="G121" s="101"/>
      <ns0:c r="H121" s="100">
        <ns0:v>0.75</ns0:v>
      </ns0:c>
      <ns0:c r="I121" s="101"/>
      <ns0:c r="J121" s="100">
        <ns0:v>0.91666666666666663</ns0:v>
      </ns0:c>
      <ns0:c r="K121" s="101"/>
      <ns0:c r="L121" s="100">
        <ns0:v>0.75</ns0:v>
      </ns0:c>
      <ns0:c r="M121" s="101"/>
      <ns0:c r="N121" s="100">
        <ns0:v>0.91666666666666663</ns0:v>
      </ns0:c>
      <ns0:c r="O121" s="101"/>
      <ns0:c r="P121" s="92"/>
      <ns0:c r="Q121" s="93"/>
      <ns0:c r="R121" s="174">
        <ns0:f>P123+N123+L123+J123+H123+F123+D123</ns0:f>
        <ns0:v>40</ns0:v>
      </ns0:c>
      <ns0:c r="S121" s="20" t="s">
        <ns0:v>8</ns0:v>
      </ns0:c>
    </ns0:row>
    <ns0:row r="122" spans="1:19" s="1" customFormat="1" ht="15" customHeight="1" ns3:dyDescent="0.2">
      <ns0:c r="A122" s="106" t="s">
        <ns0:v>65</ns0:v>
      </ns0:c>
      <ns0:c r="B122" s="107"/>
      <ns0:c r="C122" s="156"/>
      <ns0:c r="D122" s="92"/>
      <ns0:c r="E122" s="93"/>
      <ns0:c r="F122" s="92"/>
      <ns0:c r="G122" s="93"/>
      <ns0:c r="H122" s="92">
        <ns0:v>0.25</ns0:v>
      </ns0:c>
      <ns0:c r="I122" s="93"/>
      <ns0:c r="J122" s="92">
        <ns0:v>0.25</ns0:v>
      </ns0:c>
      <ns0:c r="K122" s="93"/>
      <ns0:c r="L122" s="92">
        <ns0:v>0.25</ns0:v>
      </ns0:c>
      <ns0:c r="M122" s="93"/>
      <ns0:c r="N122" s="92">
        <ns0:v>0.25</ns0:v>
      </ns0:c>
      <ns0:c r="O122" s="93"/>
      <ns0:c r="P122" s="92"/>
      <ns0:c r="Q122" s="93"/>
      <ns0:c r="R122" s="175"/>
      <ns0:c r="S122" s="25" t="s">
        <ns0:v>9</ns0:v>
      </ns0:c>
    </ns0:row>
    <ns0:row r="123" spans="1:19" s="1" customFormat="1" ht="15" customHeight="1" ns3:dyDescent="0.25">
      <ns0:c r="A123" s="22" t="s">
        <ns0:v>10</ns0:v>
      </ns0:c>
      <ns0:c r="B123" s="23" t="s">
        <ns0:v>11</ns0:v>
      </ns0:c>
      <ns0:c r="C123" s="157"/>
      <ns0:c r="D123" s="94">
        <ns0:f>IF((OR(D122="",D121="")),0,IF((D122&lt;D121),((D122-D121)*24)+24,(D122-D121)*24))</ns0:f>
        <ns0:v>0</ns0:v>
      </ns0:c>
      <ns0:c r="E123" s="95"/>
      <ns0:c r="F123" s="94">
        <ns0:f>IF((OR(F122="",F121="")),0,IF((F122&lt;F121),((F122-F121)*24)+24,(F122-F121)*24))</ns0:f>
        <ns0:v>0</ns0:v>
      </ns0:c>
      <ns0:c r="G123" s="95"/>
      <ns0:c r="H123" s="94">
        <ns0:f t="shared" ref="H123:J123" si="205">IF((OR(H122="",H121="")),0,IF((H122&lt;H121),((H122-H121)*24)+24,(H122-H121)*24))</ns0:f>
        <ns0:v>12</ns0:v>
      </ns0:c>
      <ns0:c r="I123" s="95"/>
      <ns0:c r="J123" s="94">
        <ns0:f t="shared" si="205"/>
        <ns0:v>8</ns0:v>
      </ns0:c>
      <ns0:c r="K123" s="95"/>
      <ns0:c r="L123" s="94">
        <ns0:f t="shared" ref="L123:P123" si="206">IF((OR(L122="",L121="")),0,IF((L122&lt;L121),((L122-L121)*24)+24,(L122-L121)*24))</ns0:f>
        <ns0:v>12</ns0:v>
      </ns0:c>
      <ns0:c r="M123" s="95"/>
      <ns0:c r="N123" s="94">
        <ns0:f t="shared" si="206"/>
        <ns0:v>8</ns0:v>
      </ns0:c>
      <ns0:c r="O123" s="95"/>
      <ns0:c r="P123" s="94">
        <ns0:f t="shared" si="206"/>
        <ns0:v>0</ns0:v>
      </ns0:c>
      <ns0:c r="Q123" s="95"/>
      <ns0:c r="R123" s="176"/>
      <ns0:c r="S123" s="24" t="s">
        <ns0:v>12</ns0:v>
      </ns0:c>
    </ns0:row>
    <ns0:row r="124" spans="1:19" s="1" customFormat="1" ht="15" customHeight="1" ns3:dyDescent="0.25">
      <ns0:c r="A124" s="57" t="s">
        <ns0:v>64</ns0:v>
      </ns0:c>
      <ns0:c r="B124" s="58" t="s">
        <ns0:v>53</ns0:v>
      </ns0:c>
      <ns0:c r="C124" s="155" t="s">
        <ns0:v>15</ns0:v>
      </ns0:c>
      <ns0:c r="D124" s="92"/>
      <ns0:c r="E124" s="93"/>
      <ns0:c r="F124" s="92"/>
      <ns0:c r="G124" s="93"/>
      <ns0:c r="H124" s="92"/>
      <ns0:c r="I124" s="93"/>
      <ns0:c r="J124" s="92"/>
      <ns0:c r="K124" s="93"/>
      <ns0:c r="L124" s="92"/>
      <ns0:c r="M124" s="93"/>
      <ns0:c r="N124" s="92"/>
      <ns0:c r="O124" s="93"/>
      <ns0:c r="P124" s="92">
        <ns0:v>0.91666666666666663</ns0:v>
      </ns0:c>
      <ns0:c r="Q124" s="93"/>
      <ns0:c r="R124" s="177">
        <ns0:f>SUM(D126:P126)</ns0:f>
        <ns0:v>8</ns0:v>
      </ns0:c>
      <ns0:c r="S124" s="25" t="s">
        <ns0:v>8</ns0:v>
      </ns0:c>
    </ns0:row>
    <ns0:row r="125" spans="1:19" s="1" customFormat="1" ht="15" customHeight="1" ns3:dyDescent="0.25">
      <ns0:c r="A125" s="143" t="s">
        <ns0:v>16</ns0:v>
      </ns0:c>
      <ns0:c r="B125" s="144"/>
      <ns0:c r="C125" s="156"/>
      <ns0:c r="D125" s="92"/>
      <ns0:c r="E125" s="93"/>
      <ns0:c r="F125" s="92"/>
      <ns0:c r="G125" s="93"/>
      <ns0:c r="H125" s="92"/>
      <ns0:c r="I125" s="93"/>
      <ns0:c r="J125" s="92"/>
      <ns0:c r="K125" s="93"/>
      <ns0:c r="L125" s="92"/>
      <ns0:c r="M125" s="93"/>
      <ns0:c r="N125" s="92"/>
      <ns0:c r="O125" s="93"/>
      <ns0:c r="P125" s="92">
        <ns0:v>0.25</ns0:v>
      </ns0:c>
      <ns0:c r="Q125" s="93"/>
      <ns0:c r="R125" s="175"/>
      <ns0:c r="S125" s="25" t="s">
        <ns0:v>9</ns0:v>
      </ns0:c>
    </ns0:row>
    <ns0:row r="126" spans="1:19" s="1" customFormat="1" ht="15" customHeight="1" ns3:dyDescent="0.25">
      <ns0:c r="A126" s="141" t="s">
        <ns0:v>78</ns0:v>
      </ns0:c>
      <ns0:c r="B126" s="150"/>
      <ns0:c r="C126" s="157"/>
      <ns0:c r="D126" s="94">
        <ns0:f>IF((OR(D125="",D124="")),0,IF((D125&lt;D124),((D125-D124)*24)+24,(D125-D124)*24))</ns0:f>
        <ns0:v>0</ns0:v>
      </ns0:c>
      <ns0:c r="E126" s="95"/>
      <ns0:c r="F126" s="94">
        <ns0:f t="shared" ref="F126" si="207">IF((OR(F125="",F124="")),0,IF((F125&lt;F124),((F125-F124)*24)+24,(F125-F124)*24))</ns0:f>
        <ns0:v>0</ns0:v>
      </ns0:c>
      <ns0:c r="G126" s="95"/>
      <ns0:c r="H126" s="94">
        <ns0:f t="shared" ref="H126" si="208">IF((OR(H125="",H124="")),0,IF((H125&lt;H124),((H125-H124)*24)+24,(H125-H124)*24))</ns0:f>
        <ns0:v>0</ns0:v>
      </ns0:c>
      <ns0:c r="I126" s="95"/>
      <ns0:c r="J126" s="94">
        <ns0:f t="shared" ref="J126" si="209">IF((OR(J125="",J124="")),0,IF((J125&lt;J124),((J125-J124)*24)+24,(J125-J124)*24))</ns0:f>
        <ns0:v>0</ns0:v>
      </ns0:c>
      <ns0:c r="K126" s="95"/>
      <ns0:c r="L126" s="94">
        <ns0:f t="shared" ref="L126" si="210">IF((OR(L125="",L124="")),0,IF((L125&lt;L124),((L125-L124)*24)+24,(L125-L124)*24))</ns0:f>
        <ns0:v>0</ns0:v>
      </ns0:c>
      <ns0:c r="M126" s="95"/>
      <ns0:c r="N126" s="94">
        <ns0:f t="shared" ref="N126:P126" si="211">IF((OR(N125="",N124="")),0,IF((N125&lt;N124),((N125-N124)*24)+24,(N125-N124)*24))</ns0:f>
        <ns0:v>0</ns0:v>
      </ns0:c>
      <ns0:c r="O126" s="95"/>
      <ns0:c r="P126" s="94">
        <ns0:f t="shared" si="211"/>
        <ns0:v>8</ns0:v>
      </ns0:c>
      <ns0:c r="Q126" s="95"/>
      <ns0:c r="R126" s="176"/>
      <ns0:c r="S126" s="24" t="s">
        <ns0:v>12</ns0:v>
      </ns0:c>
    </ns0:row>
    <ns0:row r="127" spans="1:19" s="1" customFormat="1" ht="15" customHeight="1" ns3:dyDescent="0.25">
      <ns0:c r="A127" s="159" t="s">
        <ns0:v>79</ns0:v>
      </ns0:c>
      <ns0:c r="B127" s="160"/>
      <ns0:c r="C127" s="155" t="s">
        <ns0:v>17</ns0:v>
      </ns0:c>
      <ns0:c r="D127" s="92"/>
      <ns0:c r="E127" s="93"/>
      <ns0:c r="F127" s="92"/>
      <ns0:c r="G127" s="93"/>
      <ns0:c r="H127" s="92"/>
      <ns0:c r="I127" s="93"/>
      <ns0:c r="J127" s="92"/>
      <ns0:c r="K127" s="93"/>
      <ns0:c r="L127" s="92"/>
      <ns0:c r="M127" s="93"/>
      <ns0:c r="N127" s="92"/>
      <ns0:c r="O127" s="93"/>
      <ns0:c r="P127" s="92"/>
      <ns0:c r="Q127" s="93"/>
      <ns0:c r="R127" s="177">
        <ns0:f>SUM(D129:P129)</ns0:f>
        <ns0:v>0</ns0:v>
      </ns0:c>
      <ns0:c r="S127" s="25" t="s">
        <ns0:v>8</ns0:v>
      </ns0:c>
    </ns0:row>
    <ns0:row r="128" spans="1:19" s="1" customFormat="1" ht="15" customHeight="1" ns3:dyDescent="0.25">
      <ns0:c r="A128" s="141"/>
      <ns0:c r="B128" s="142"/>
      <ns0:c r="C128" s="156"/>
      <ns0:c r="D128" s="92"/>
      <ns0:c r="E128" s="93"/>
      <ns0:c r="F128" s="92"/>
      <ns0:c r="G128" s="93"/>
      <ns0:c r="H128" s="92"/>
      <ns0:c r="I128" s="93"/>
      <ns0:c r="J128" s="92"/>
      <ns0:c r="K128" s="93"/>
      <ns0:c r="L128" s="92"/>
      <ns0:c r="M128" s="93"/>
      <ns0:c r="N128" s="92"/>
      <ns0:c r="O128" s="93"/>
      <ns0:c r="P128" s="92"/>
      <ns0:c r="Q128" s="93"/>
      <ns0:c r="R128" s="175"/>
      <ns0:c r="S128" s="25" t="s">
        <ns0:v>9</ns0:v>
      </ns0:c>
    </ns0:row>
    <ns0:row r="129" spans="1:20" s="1" customFormat="1" ht="15" customHeight="1" thickBot="1" ns3:dyDescent="0.3">
      <ns0:c r="A129" s="148"/>
      <ns0:c r="B129" s="149"/>
      <ns0:c r="C129" s="157"/>
      <ns0:c r="D129" s="94">
        <ns0:f>IF((OR(D128="",D127="")),0,IF((D128&lt;D127),((D128-D127)*24)+24,(D128-D127)*24))</ns0:f>
        <ns0:v>0</ns0:v>
      </ns0:c>
      <ns0:c r="E129" s="95"/>
      <ns0:c r="F129" s="94">
        <ns0:f t="shared" ref="F129" si="212">IF((OR(F128="",F127="")),0,IF((F128&lt;F127),((F128-F127)*24)+24,(F128-F127)*24))</ns0:f>
        <ns0:v>0</ns0:v>
      </ns0:c>
      <ns0:c r="G129" s="95"/>
      <ns0:c r="H129" s="94">
        <ns0:f t="shared" ref="H129" si="213">IF((OR(H128="",H127="")),0,IF((H128&lt;H127),((H128-H127)*24)+24,(H128-H127)*24))</ns0:f>
        <ns0:v>0</ns0:v>
      </ns0:c>
      <ns0:c r="I129" s="95"/>
      <ns0:c r="J129" s="94">
        <ns0:f t="shared" ref="J129" si="214">IF((OR(J128="",J127="")),0,IF((J128&lt;J127),((J128-J127)*24)+24,(J128-J127)*24))</ns0:f>
        <ns0:v>0</ns0:v>
      </ns0:c>
      <ns0:c r="K129" s="95"/>
      <ns0:c r="L129" s="94">
        <ns0:f t="shared" ref="L129" si="215">IF((OR(L128="",L127="")),0,IF((L128&lt;L127),((L128-L127)*24)+24,(L128-L127)*24))</ns0:f>
        <ns0:v>0</ns0:v>
      </ns0:c>
      <ns0:c r="M129" s="95"/>
      <ns0:c r="N129" s="94">
        <ns0:f t="shared" ref="N129" si="216">IF((OR(N128="",N127="")),0,IF((N128&lt;N127),((N128-N127)*24)+24,(N128-N127)*24))</ns0:f>
        <ns0:v>0</ns0:v>
      </ns0:c>
      <ns0:c r="O129" s="95"/>
      <ns0:c r="P129" s="94">
        <ns0:f t="shared" ref="P129" si="217">IF((OR(P128="",P127="")),0,IF((P128&lt;P127),((P128-P127)*24)+24,(P128-P127)*24))</ns0:f>
        <ns0:v>0</ns0:v>
      </ns0:c>
      <ns0:c r="Q129" s="95"/>
      <ns0:c r="R129" s="176"/>
      <ns0:c r="S129" s="27" t="s">
        <ns0:v>12</ns0:v>
      </ns0:c>
    </ns0:row>
    <ns0:row r="130" spans="1:20" s="1" customFormat="1" ht="15" customHeight="1" ns3:dyDescent="0.25">
      <ns0:c r="A130" s="145" t="s">
        <ns0:v>18</ns0:v>
      </ns0:c>
      <ns0:c r="B130" s="146"/>
      <ns0:c r="C130" s="147"/>
      <ns0:c r="D130" s="96">
        <ns0:f>D129+D126+D123</ns0:f>
        <ns0:v>0</ns0:v>
      </ns0:c>
      <ns0:c r="E130" s="97"/>
      <ns0:c r="F130" s="96">
        <ns0:f>F129+F126+F123</ns0:f>
        <ns0:v>0</ns0:v>
      </ns0:c>
      <ns0:c r="G130" s="97"/>
      <ns0:c r="H130" s="96">
        <ns0:f t="shared" ref="H130" si="218">H129+H126+H123</ns0:f>
        <ns0:v>12</ns0:v>
      </ns0:c>
      <ns0:c r="I130" s="97"/>
      <ns0:c r="J130" s="96">
        <ns0:f t="shared" ref="J130" si="219">J129+J126+J123</ns0:f>
        <ns0:v>8</ns0:v>
      </ns0:c>
      <ns0:c r="K130" s="97"/>
      <ns0:c r="L130" s="96">
        <ns0:f t="shared" ref="L130" si="220">L129+L126+L123</ns0:f>
        <ns0:v>12</ns0:v>
      </ns0:c>
      <ns0:c r="M130" s="97"/>
      <ns0:c r="N130" s="96">
        <ns0:f t="shared" ref="N130" si="221">N129+N126+N123</ns0:f>
        <ns0:v>8</ns0:v>
      </ns0:c>
      <ns0:c r="O130" s="97"/>
      <ns0:c r="P130" s="96">
        <ns0:f t="shared" ref="P130" si="222">P129+P126+P123</ns0:f>
        <ns0:v>8</ns0:v>
      </ns0:c>
      <ns0:c r="Q130" s="97"/>
      <ns0:c r="R130" s="28">
        <ns0:f>R127+R124+R121</ns0:f>
        <ns0:v>48</ns0:v>
      </ns0:c>
      <ns0:c r="S130" s="32" t="s">
        <ns0:v>12</ns0:v>
      </ns0:c>
    </ns0:row>
    <ns0:row r="131" spans="1:20" s="1" customFormat="1" ht="15" customHeight="1" ns3:dyDescent="0.25">
      <ns0:c r="A131" s="161" t="s">
        <ns0:v>6</ns0:v>
      </ns0:c>
      <ns0:c r="B131" s="162"/>
      <ns0:c r="C131" s="158" t="s">
        <ns0:v>7</ns0:v>
      </ns0:c>
      <ns0:c r="D131" s="100">
        <ns0:v>0.91666666666666663</ns0:v>
      </ns0:c>
      <ns0:c r="E131" s="101"/>
      <ns0:c r="F131" s="100">
        <ns0:v>0.91666666666666663</ns0:v>
      </ns0:c>
      <ns0:c r="G131" s="101"/>
      <ns0:c r="H131" s="100">
        <ns0:v>0.58333333333333337</ns0:v>
      </ns0:c>
      <ns0:c r="I131" s="101"/>
      <ns0:c r="J131" s="100" t="s">
        <ns0:v>69</ns0:v>
      </ns0:c>
      <ns0:c r="K131" s="101"/>
      <ns0:c r="L131" s="100" t="s">
        <ns0:v>69</ns0:v>
      </ns0:c>
      <ns0:c r="M131" s="101"/>
      <ns0:c r="N131" s="100">
        <ns0:v>0.91666666666666663</ns0:v>
      </ns0:c>
      <ns0:c r="O131" s="101"/>
      <ns0:c r="P131" s="100">
        <ns0:v>0.75</ns0:v>
      </ns0:c>
      <ns0:c r="Q131" s="101"/>
      <ns0:c r="R131" s="174">
        <ns0:f>SUM(D133:P133)</ns0:f>
        <ns0:v>40</ns0:v>
      </ns0:c>
      <ns0:c r="S131" s="21" t="s">
        <ns0:v>8</ns0:v>
      </ns0:c>
    </ns0:row>
    <ns0:row r="132" spans="1:20" s="1" customFormat="1" ht="15" customHeight="1" ns3:dyDescent="0.2">
      <ns0:c r="A132" s="106" t="s">
        <ns0:v>67</ns0:v>
      </ns0:c>
      <ns0:c r="B132" s="107"/>
      <ns0:c r="C132" s="156"/>
      <ns0:c r="D132" s="92">
        <ns0:v>0.25</ns0:v>
      </ns0:c>
      <ns0:c r="E132" s="93"/>
      <ns0:c r="F132" s="92">
        <ns0:v>0.25</ns0:v>
      </ns0:c>
      <ns0:c r="G132" s="93"/>
      <ns0:c r="H132" s="92">
        <ns0:v>0.91666666666666663</ns0:v>
      </ns0:c>
      <ns0:c r="I132" s="93"/>
      <ns0:c r="J132" s="92"/>
      <ns0:c r="K132" s="93"/>
      <ns0:c r="L132" s="92"/>
      <ns0:c r="M132" s="93"/>
      <ns0:c r="N132" s="92">
        <ns0:v>0.25</ns0:v>
      </ns0:c>
      <ns0:c r="O132" s="93"/>
      <ns0:c r="P132" s="92">
        <ns0:v>8.3333333333333329E-2</ns0:v>
      </ns0:c>
      <ns0:c r="Q132" s="93"/>
      <ns0:c r="R132" s="175"/>
      <ns0:c r="S132" s="21" t="s">
        <ns0:v>9</ns0:v>
      </ns0:c>
    </ns0:row>
    <ns0:row r="133" spans="1:20" s="1" customFormat="1" ht="15" customHeight="1" ns3:dyDescent="0.25">
      <ns0:c r="A133" s="22" t="s">
        <ns0:v>10</ns0:v>
      </ns0:c>
      <ns0:c r="B133" s="23" t="s">
        <ns0:v>11</ns0:v>
      </ns0:c>
      <ns0:c r="C133" s="157"/>
      <ns0:c r="D133" s="94">
        <ns0:f t="shared" ref="D133:F133" si="223">IF((OR(D132="",D131="")),0,IF((D132&lt;D131),((D132-D131)*24)+24,(D132-D131)*24))</ns0:f>
        <ns0:v>8</ns0:v>
      </ns0:c>
      <ns0:c r="E133" s="95"/>
      <ns0:c r="F133" s="94">
        <ns0:f t="shared" si="223"/>
        <ns0:v>8</ns0:v>
      </ns0:c>
      <ns0:c r="G133" s="95"/>
      <ns0:c r="H133" s="94">
        <ns0:f t="shared" ref="H133:L133" si="224">IF((OR(H132="",H131="")),0,IF((H132&lt;H131),((H132-H131)*24)+24,(H132-H131)*24))</ns0:f>
        <ns0:v>7.9999999999999982</ns0:v>
      </ns0:c>
      <ns0:c r="I133" s="95"/>
      <ns0:c r="J133" s="94">
        <ns0:f t="shared" si="224"/>
        <ns0:v>0</ns0:v>
      </ns0:c>
      <ns0:c r="K133" s="95"/>
      <ns0:c r="L133" s="94">
        <ns0:f t="shared" si="224"/>
        <ns0:v>0</ns0:v>
      </ns0:c>
      <ns0:c r="M133" s="95"/>
      <ns0:c r="N133" s="94">
        <ns0:f t="shared" ref="N133:P133" si="225">IF((OR(N132="",N131="")),0,IF((N132&lt;N131),((N132-N131)*24)+24,(N132-N131)*24))</ns0:f>
        <ns0:v>8</ns0:v>
      </ns0:c>
      <ns0:c r="O133" s="95"/>
      <ns0:c r="P133" s="94">
        <ns0:f t="shared" si="225"/>
        <ns0:v>8</ns0:v>
      </ns0:c>
      <ns0:c r="Q133" s="95"/>
      <ns0:c r="R133" s="176"/>
      <ns0:c r="S133" s="24" t="s">
        <ns0:v>12</ns0:v>
      </ns0:c>
    </ns0:row>
    <ns0:row r="134" spans="1:20" s="1" customFormat="1" ht="15" customHeight="1" ns3:dyDescent="0.25">
      <ns0:c r="A134" s="57"/>
      <ns0:c r="B134" s="58" t="s">
        <ns0:v>53</ns0:v>
      </ns0:c>
      <ns0:c r="C134" s="155" t="s">
        <ns0:v>15</ns0:v>
      </ns0:c>
      <ns0:c r="D134" s="92"/>
      <ns0:c r="E134" s="93"/>
      <ns0:c r="F134" s="92"/>
      <ns0:c r="G134" s="93"/>
      <ns0:c r="H134" s="92"/>
      <ns0:c r="I134" s="93"/>
      <ns0:c r="J134" s="92"/>
      <ns0:c r="K134" s="93"/>
      <ns0:c r="L134" s="92"/>
      <ns0:c r="M134" s="93"/>
      <ns0:c r="N134" s="92"/>
      <ns0:c r="O134" s="93"/>
      <ns0:c r="P134" s="92">
        <ns0:v>8.3333333333333329E-2</ns0:v>
      </ns0:c>
      <ns0:c r="Q134" s="93"/>
      <ns0:c r="R134" s="177">
        <ns0:f>SUM(D136:P136)</ns0:f>
        <ns0:v>4</ns0:v>
      </ns0:c>
      <ns0:c r="S134" s="25" t="s">
        <ns0:v>8</ns0:v>
      </ns0:c>
    </ns0:row>
    <ns0:row r="135" spans="1:20" s="1" customFormat="1" ht="15" customHeight="1" ns3:dyDescent="0.25">
      <ns0:c r="A135" s="143" t="s">
        <ns0:v>16</ns0:v>
      </ns0:c>
      <ns0:c r="B135" s="144"/>
      <ns0:c r="C135" s="156"/>
      <ns0:c r="D135" s="92"/>
      <ns0:c r="E135" s="93"/>
      <ns0:c r="F135" s="92"/>
      <ns0:c r="G135" s="93"/>
      <ns0:c r="H135" s="92"/>
      <ns0:c r="I135" s="93"/>
      <ns0:c r="J135" s="92"/>
      <ns0:c r="K135" s="93"/>
      <ns0:c r="L135" s="92"/>
      <ns0:c r="M135" s="93"/>
      <ns0:c r="N135" s="92"/>
      <ns0:c r="O135" s="93"/>
      <ns0:c r="P135" s="92">
        <ns0:v>0.25</ns0:v>
      </ns0:c>
      <ns0:c r="Q135" s="93"/>
      <ns0:c r="R135" s="175"/>
      <ns0:c r="S135" s="25" t="s">
        <ns0:v>9</ns0:v>
      </ns0:c>
    </ns0:row>
    <ns0:row r="136" spans="1:20" s="1" customFormat="1" ht="15" customHeight="1" ns3:dyDescent="0.25">
      <ns0:c r="A136" s="159" t="s">
        <ns0:v>77</ns0:v>
      </ns0:c>
      <ns0:c r="B136" s="160"/>
      <ns0:c r="C136" s="157"/>
      <ns0:c r="D136" s="94">
        <ns0:f>IF((OR(D135="",D134="")),0,IF((D135&lt;D134),((D135-D134)*24)+24,(D135-D134)*24))</ns0:f>
        <ns0:v>0</ns0:v>
      </ns0:c>
      <ns0:c r="E136" s="95"/>
      <ns0:c r="F136" s="94">
        <ns0:f t="shared" ref="F136" si="226">IF((OR(F135="",F134="")),0,IF((F135&lt;F134),((F135-F134)*24)+24,(F135-F134)*24))</ns0:f>
        <ns0:v>0</ns0:v>
      </ns0:c>
      <ns0:c r="G136" s="95"/>
      <ns0:c r="H136" s="94">
        <ns0:f t="shared" ref="H136" si="227">IF((OR(H135="",H134="")),0,IF((H135&lt;H134),((H135-H134)*24)+24,(H135-H134)*24))</ns0:f>
        <ns0:v>0</ns0:v>
      </ns0:c>
      <ns0:c r="I136" s="95"/>
      <ns0:c r="J136" s="94">
        <ns0:f t="shared" ref="J136" si="228">IF((OR(J135="",J134="")),0,IF((J135&lt;J134),((J135-J134)*24)+24,(J135-J134)*24))</ns0:f>
        <ns0:v>0</ns0:v>
      </ns0:c>
      <ns0:c r="K136" s="95"/>
      <ns0:c r="L136" s="94">
        <ns0:f t="shared" ref="L136" si="229">IF((OR(L135="",L134="")),0,IF((L135&lt;L134),((L135-L134)*24)+24,(L135-L134)*24))</ns0:f>
        <ns0:v>0</ns0:v>
      </ns0:c>
      <ns0:c r="M136" s="95"/>
      <ns0:c r="N136" s="94">
        <ns0:f t="shared" ref="N136:P136" si="230">IF((OR(N135="",N134="")),0,IF((N135&lt;N134),((N135-N134)*24)+24,(N135-N134)*24))</ns0:f>
        <ns0:v>0</ns0:v>
      </ns0:c>
      <ns0:c r="O136" s="95"/>
      <ns0:c r="P136" s="94">
        <ns0:f t="shared" si="230"/>
        <ns0:v>4</ns0:v>
      </ns0:c>
      <ns0:c r="Q136" s="95"/>
      <ns0:c r="R136" s="176"/>
      <ns0:c r="S136" s="24" t="s">
        <ns0:v>12</ns0:v>
      </ns0:c>
    </ns0:row>
    <ns0:row r="137" spans="1:20" s="1" customFormat="1" ht="15" customHeight="1" ns3:dyDescent="0.25">
      <ns0:c r="A137" s="141"/>
      <ns0:c r="B137" s="142"/>
      <ns0:c r="C137" s="155" t="s">
        <ns0:v>17</ns0:v>
      </ns0:c>
      <ns0:c r="D137" s="92"/>
      <ns0:c r="E137" s="93"/>
      <ns0:c r="F137" s="92"/>
      <ns0:c r="G137" s="93"/>
      <ns0:c r="H137" s="92"/>
      <ns0:c r="I137" s="93"/>
      <ns0:c r="J137" s="92"/>
      <ns0:c r="K137" s="93"/>
      <ns0:c r="L137" s="100"/>
      <ns0:c r="M137" s="101"/>
      <ns0:c r="N137" s="92"/>
      <ns0:c r="O137" s="93"/>
      <ns0:c r="P137" s="92"/>
      <ns0:c r="Q137" s="93"/>
      <ns0:c r="R137" s="177">
        <ns0:f>SUM(D139:P139)</ns0:f>
        <ns0:v>0</ns0:v>
      </ns0:c>
      <ns0:c r="S137" s="25" t="s">
        <ns0:v>8</ns0:v>
      </ns0:c>
    </ns0:row>
    <ns0:row r="138" spans="1:20" s="1" customFormat="1" ht="15" customHeight="1" ns3:dyDescent="0.25">
      <ns0:c r="A138" s="141"/>
      <ns0:c r="B138" s="142"/>
      <ns0:c r="C138" s="156"/>
      <ns0:c r="D138" s="92"/>
      <ns0:c r="E138" s="93"/>
      <ns0:c r="F138" s="92"/>
      <ns0:c r="G138" s="93"/>
      <ns0:c r="H138" s="92"/>
      <ns0:c r="I138" s="93"/>
      <ns0:c r="J138" s="92"/>
      <ns0:c r="K138" s="93"/>
      <ns0:c r="L138" s="92"/>
      <ns0:c r="M138" s="93"/>
      <ns0:c r="N138" s="92"/>
      <ns0:c r="O138" s="93"/>
      <ns0:c r="P138" s="92"/>
      <ns0:c r="Q138" s="93"/>
      <ns0:c r="R138" s="175"/>
      <ns0:c r="S138" s="25" t="s">
        <ns0:v>9</ns0:v>
      </ns0:c>
    </ns0:row>
    <ns0:row r="139" spans="1:20" s="1" customFormat="1" ht="15" customHeight="1" ns3:dyDescent="0.25">
      <ns0:c r="A139" s="148"/>
      <ns0:c r="B139" s="149"/>
      <ns0:c r="C139" s="157"/>
      <ns0:c r="D139" s="94">
        <ns0:f>IF((OR(D138="",D137="")),0,IF((D138&lt;D137),((D138-D137)*24)+24,(D138-D137)*24))</ns0:f>
        <ns0:v>0</ns0:v>
      </ns0:c>
      <ns0:c r="E139" s="95"/>
      <ns0:c r="F139" s="94">
        <ns0:f t="shared" ref="F139" si="231">IF((OR(F138="",F137="")),0,IF((F138&lt;F137),((F138-F137)*24)+24,(F138-F137)*24))</ns0:f>
        <ns0:v>0</ns0:v>
      </ns0:c>
      <ns0:c r="G139" s="95"/>
      <ns0:c r="H139" s="94">
        <ns0:f t="shared" ref="H139" si="232">IF((OR(H138="",H137="")),0,IF((H138&lt;H137),((H138-H137)*24)+24,(H138-H137)*24))</ns0:f>
        <ns0:v>0</ns0:v>
      </ns0:c>
      <ns0:c r="I139" s="95"/>
      <ns0:c r="J139" s="94">
        <ns0:f t="shared" ref="J139" si="233">IF((OR(J138="",J137="")),0,IF((J138&lt;J137),((J138-J137)*24)+24,(J138-J137)*24))</ns0:f>
        <ns0:v>0</ns0:v>
      </ns0:c>
      <ns0:c r="K139" s="95"/>
      <ns0:c r="L139" s="94"/>
      <ns0:c r="M139" s="95"/>
      <ns0:c r="N139" s="94">
        <ns0:f t="shared" ref="N139" si="234">IF((OR(N138="",N137="")),0,IF((N138&lt;N137),((N138-N137)*24)+24,(N138-N137)*24))</ns0:f>
        <ns0:v>0</ns0:v>
      </ns0:c>
      <ns0:c r="O139" s="95"/>
      <ns0:c r="P139" s="94">
        <ns0:f t="shared" ref="P139" si="235">IF((OR(P138="",P137="")),0,IF((P138&lt;P137),((P138-P137)*24)+24,(P138-P137)*24))</ns0:f>
        <ns0:v>0</ns0:v>
      </ns0:c>
      <ns0:c r="Q139" s="95"/>
      <ns0:c r="R139" s="176"/>
      <ns0:c r="S139" s="27" t="s">
        <ns0:v>12</ns0:v>
      </ns0:c>
    </ns0:row>
    <ns0:row r="140" spans="1:20" s="1" customFormat="1" ht="15" customHeight="1" thickBot="1" ns3:dyDescent="0.3">
      <ns0:c r="A140" s="145" t="s">
        <ns0:v>18</ns0:v>
      </ns0:c>
      <ns0:c r="B140" s="146"/>
      <ns0:c r="C140" s="147"/>
      <ns0:c r="D140" s="96">
        <ns0:f>D139+D136+D133</ns0:f>
        <ns0:v>8</ns0:v>
      </ns0:c>
      <ns0:c r="E140" s="97"/>
      <ns0:c r="F140" s="96">
        <ns0:f>F139+F136+F133</ns0:f>
        <ns0:v>8</ns0:v>
      </ns0:c>
      <ns0:c r="G140" s="97"/>
      <ns0:c r="H140" s="96">
        <ns0:f t="shared" ref="H140" si="236">H139+H136+H133</ns0:f>
        <ns0:v>7.9999999999999982</ns0:v>
      </ns0:c>
      <ns0:c r="I140" s="97"/>
      <ns0:c r="J140" s="96">
        <ns0:f t="shared" ref="J140" si="237">J139+J136+J133</ns0:f>
        <ns0:v>0</ns0:v>
      </ns0:c>
      <ns0:c r="K140" s="97"/>
      <ns0:c r="L140" s="96">
        <ns0:f t="shared" ref="L140" si="238">L139+L136+L133</ns0:f>
        <ns0:v>0</ns0:v>
      </ns0:c>
      <ns0:c r="M140" s="97"/>
      <ns0:c r="N140" s="96">
        <ns0:f t="shared" ref="N140" si="239">N139+N136+N133</ns0:f>
        <ns0:v>8</ns0:v>
      </ns0:c>
      <ns0:c r="O140" s="97"/>
      <ns0:c r="P140" s="96">
        <ns0:f t="shared" ref="P140" si="240">P139+P136+P133</ns0:f>
        <ns0:v>12</ns0:v>
      </ns0:c>
      <ns0:c r="Q140" s="97"/>
      <ns0:c r="R140" s="30">
        <ns0:f>R137+R134+R131</ns0:f>
        <ns0:v>44</ns0:v>
      </ns0:c>
      <ns0:c r="S140" s="29" t="s">
        <ns0:v>12</ns0:v>
      </ns0:c>
    </ns0:row>
    <ns0:row r="141" spans="1:20" s="1" customFormat="1" ht="15" customHeight="1" ns3:dyDescent="0.25">
      <ns0:c r="A141" s="8"/>
      <ns0:c r="B141" s="2"/>
      <ns0:c r="C141" s="3"/>
      <ns0:c r="D141" s="3"/>
      <ns0:c r="E141" s="3"/>
      <ns0:c r="F141" s="3"/>
      <ns0:c r="G141" s="3"/>
      <ns0:c r="H141" s="3"/>
      <ns0:c r="I141" s="9"/>
      <ns0:c r="J141" s="4"/>
      <ns0:c r="K141" s="4" t="s">
        <ns0:v>0</ns0:v>
      </ns0:c>
      <ns0:c r="L141" s="84" t="str">
        <ns0:f>L1</ns0:f>
        <ns0:v>John Boerder</ns0:v>
      </ns0:c>
      <ns0:c r="M141" s="84"/>
      <ns0:c r="N141" s="84"/>
      <ns0:c r="O141" s="84"/>
      <ns0:c r="P141" s="84"/>
      <ns0:c r="Q141" s="3"/>
      <ns0:c r="R141" s="3"/>
      <ns0:c r="S141" s="3"/>
      <ns0:c r="T141" s="15"/>
    </ns0:row>
    <ns0:row r="142" spans="1:20" s="1" customFormat="1" ht="15" customHeight="1" ns3:dyDescent="0.3">
      <ns0:c r="A142" s="10" t="str">
        <ns0:f>A2</ns0:f>
        <ns0:v>CLIENT: PCA - Filer City, MI</ns0:v>
      </ns0:c>
      <ns0:c r="B142" s="11"/>
      <ns0:c r="C142" s="6"/>
      <ns0:c r="D142" s="6"/>
      <ns0:c r="E142" s="6"/>
      <ns0:c r="F142" s="6"/>
      <ns0:c r="G142" s="6"/>
      <ns0:c r="H142" s="6"/>
      <ns0:c r="I142" s="6"/>
      <ns0:c r="J142" s="5"/>
      <ns0:c r="K142" s="5" t="s">
        <ns0:v>1</ns0:v>
      </ns0:c>
      <ns0:c r="L142" s="85" t="str">
        <ns0:f>L2</ns0:f>
        <ns0:v>(231) 723-9951   Ext. 1331</ns0:v>
      </ns0:c>
      <ns0:c r="M142" s="85"/>
      <ns0:c r="N142" s="85"/>
      <ns0:c r="O142" s="85"/>
      <ns0:c r="P142" s="85"/>
      <ns0:c r="Q142" s="6" t="s">
        <ns0:v>2</ns0:v>
      </ns0:c>
      <ns0:c r="R142" s="16"/>
      <ns0:c r="S142" s="86">
        <ns0:f>S2</ns0:f>
        <ns0:v>46116</ns0:v>
      </ns0:c>
      <ns0:c r="T142" s="87"/>
    </ns0:row>
    <ns0:row r="143" spans="1:20" s="1" customFormat="1" ht="13.5" customHeight="1" thickBot="1" ns3:dyDescent="0.35">
      <ns0:c r="A143" s="12"/>
      <ns0:c r="B143" s="88"/>
      <ns0:c r="C143" s="88"/>
      <ns0:c r="D143" s="88"/>
      <ns0:c r="E143" s="88"/>
      <ns0:c r="F143" s="88"/>
      <ns0:c r="G143" s="88"/>
      <ns0:c r="H143" s="13"/>
      <ns0:c r="I143" s="14"/>
      <ns0:c r="J143" s="14"/>
      <ns0:c r="K143" s="14" t="s">
        <ns0:v>3</ns0:v>
      </ns0:c>
      <ns0:c r="L143" s="89" t="str">
        <ns0:f>L3</ns0:f>
        <ns0:v>(231) 388-5092</ns0:v>
      </ns0:c>
      <ns0:c r="M143" s="89"/>
      <ns0:c r="N143" s="89"/>
      <ns0:c r="O143" s="89"/>
      <ns0:c r="P143" s="89"/>
      <ns0:c r="Q143" s="90"/>
      <ns0:c r="R143" s="90"/>
      <ns0:c r="S143" s="90"/>
      <ns0:c r="T143" s="91"/>
    </ns0:row>
    <ns0:row r="144" spans="1:20" s="1" customFormat="1" ht="13.2" customHeight="1" thickBot="1" ns3:dyDescent="0.3">
      <ns0:c r="A144" s="206"/>
      <ns0:c r="B144" s="207"/>
      <ns0:c r="C144" s="208"/>
      <ns0:c r="D144" s="136" t="s">
        <ns0:v>4</ns0:v>
      </ns0:c>
      <ns0:c r="E144" s="137"/>
      <ns0:c r="F144" s="137"/>
      <ns0:c r="G144" s="137"/>
      <ns0:c r="H144" s="137"/>
      <ns0:c r="I144" s="137"/>
      <ns0:c r="J144" s="137"/>
      <ns0:c r="K144" s="137"/>
      <ns0:c r="L144" s="137"/>
      <ns0:c r="M144" s="137"/>
      <ns0:c r="N144" s="137"/>
      <ns0:c r="O144" s="137"/>
      <ns0:c r="P144" s="137"/>
      <ns0:c r="Q144" s="138"/>
      <ns0:c r="R144" s="17"/>
      <ns0:c r="S144" s="18"/>
      <ns0:c r="T144" s="18"/>
    </ns0:row>
    <ns0:row r="145" spans="1:20" s="1" customFormat="1" ht="13.2" customHeight="1" thickBot="1" ns3:dyDescent="0.3">
      <ns0:c r="A145" s="209"/>
      <ns0:c r="B145" s="210"/>
      <ns0:c r="C145" s="211"/>
      <ns0:c r="D145" s="102">
        <ns0:f>D5</ns0:f>
        <ns0:v>46110</ns0:v>
      </ns0:c>
      <ns0:c r="E145" s="104"/>
      <ns0:c r="F145" s="102">
        <ns0:f t="shared" ref="F145" si="241">F5</ns0:f>
        <ns0:v>46111</ns0:v>
      </ns0:c>
      <ns0:c r="G145" s="104"/>
      <ns0:c r="H145" s="102">
        <ns0:f t="shared" ref="H145" si="242">H5</ns0:f>
        <ns0:v>46112</ns0:v>
      </ns0:c>
      <ns0:c r="I145" s="104"/>
      <ns0:c r="J145" s="102">
        <ns0:f t="shared" ref="J145" si="243">J5</ns0:f>
        <ns0:v>46113</ns0:v>
      </ns0:c>
      <ns0:c r="K145" s="104"/>
      <ns0:c r="L145" s="102">
        <ns0:f t="shared" ref="L145" si="244">L5</ns0:f>
        <ns0:v>46114</ns0:v>
      </ns0:c>
      <ns0:c r="M145" s="104"/>
      <ns0:c r="N145" s="102">
        <ns0:f t="shared" ref="N145" si="245">N5</ns0:f>
        <ns0:v>46115</ns0:v>
      </ns0:c>
      <ns0:c r="O145" s="104"/>
      <ns0:c r="P145" s="102">
        <ns0:f t="shared" ref="P145" si="246">P5</ns0:f>
        <ns0:v>46116</ns0:v>
      </ns0:c>
      <ns0:c r="Q145" s="104"/>
      <ns0:c r="R145" s="19" t="s">
        <ns0:v>5</ns0:v>
      </ns0:c>
      <ns0:c r="S145" s="7"/>
      <ns0:c r="T145" s="7"/>
    </ns0:row>
    <ns0:row r="146" spans="1:20" s="1" customFormat="1" ht="15" customHeight="1" ns3:dyDescent="0.25">
      <ns0:c r="A146" s="161" t="s">
        <ns0:v>6</ns0:v>
      </ns0:c>
      <ns0:c r="B146" s="162"/>
      <ns0:c r="C146" s="158" t="s">
        <ns0:v>7</ns0:v>
      </ns0:c>
      <ns0:c r="D146" s="100">
        <ns0:v>0.58333333333333337</ns0:v>
      </ns0:c>
      <ns0:c r="E146" s="101"/>
      <ns0:c r="F146" s="100">
        <ns0:v>0.58333333333333337</ns0:v>
      </ns0:c>
      <ns0:c r="G146" s="101"/>
      <ns0:c r="H146" s="100" t="s">
        <ns0:v>69</ns0:v>
      </ns0:c>
      <ns0:c r="I146" s="101"/>
      <ns0:c r="J146" s="100" t="s">
        <ns0:v>69</ns0:v>
      </ns0:c>
      <ns0:c r="K146" s="101"/>
      <ns0:c r="L146" s="100">
        <ns0:v>0.58333333333333337</ns0:v>
      </ns0:c>
      <ns0:c r="M146" s="101"/>
      <ns0:c r="N146" s="100">
        <ns0:v>0.58333333333333337</ns0:v>
      </ns0:c>
      <ns0:c r="O146" s="101"/>
      <ns0:c r="P146" s="100">
        <ns0:v>0.58333333333333337</ns0:v>
      </ns0:c>
      <ns0:c r="Q146" s="101"/>
      <ns0:c r="R146" s="174">
        <ns0:f>SUM(D148:P148)</ns0:f>
        <ns0:v>39.999999999999993</ns0:v>
      </ns0:c>
      <ns0:c r="S146" s="20" t="s">
        <ns0:v>8</ns0:v>
      </ns0:c>
    </ns0:row>
    <ns0:row r="147" spans="1:20" s="1" customFormat="1" ht="15" customHeight="1" ns3:dyDescent="0.2">
      <ns0:c r="A147" s="106" t="s">
        <ns0:v>68</ns0:v>
      </ns0:c>
      <ns0:c r="B147" s="107"/>
      <ns0:c r="C147" s="156"/>
      <ns0:c r="D147" s="92">
        <ns0:v>0.91666666666666663</ns0:v>
      </ns0:c>
      <ns0:c r="E147" s="93"/>
      <ns0:c r="F147" s="92">
        <ns0:v>0.91666666666666663</ns0:v>
      </ns0:c>
      <ns0:c r="G147" s="93"/>
      <ns0:c r="H147" s="92"/>
      <ns0:c r="I147" s="93"/>
      <ns0:c r="J147" s="92"/>
      <ns0:c r="K147" s="93"/>
      <ns0:c r="L147" s="92">
        <ns0:v>0.91666666666666663</ns0:v>
      </ns0:c>
      <ns0:c r="M147" s="93"/>
      <ns0:c r="N147" s="92">
        <ns0:v>0.91666666666666663</ns0:v>
      </ns0:c>
      <ns0:c r="O147" s="93"/>
      <ns0:c r="P147" s="92">
        <ns0:v>0.91666666666666663</ns0:v>
      </ns0:c>
      <ns0:c r="Q147" s="93"/>
      <ns0:c r="R147" s="175"/>
      <ns0:c r="S147" s="25" t="s">
        <ns0:v>9</ns0:v>
      </ns0:c>
    </ns0:row>
    <ns0:row r="148" spans="1:20" s="1" customFormat="1" ht="15" customHeight="1" ns3:dyDescent="0.25">
      <ns0:c r="A148" s="22" t="s">
        <ns0:v>10</ns0:v>
      </ns0:c>
      <ns0:c r="B148" s="23" t="s">
        <ns0:v>11</ns0:v>
      </ns0:c>
      <ns0:c r="C148" s="157"/>
      <ns0:c r="D148" s="94">
        <ns0:f>IF((OR(D147="",D146="")),0,IF((D147&lt;D146),((D147-D146)*24)+24,(D147-D146)*24))</ns0:f>
        <ns0:v>7.9999999999999982</ns0:v>
      </ns0:c>
      <ns0:c r="E148" s="95"/>
      <ns0:c r="F148" s="94">
        <ns0:f t="shared" ref="F148" si="247">IF((OR(F147="",F146="")),0,IF((F147&lt;F146),((F147-F146)*24)+24,(F147-F146)*24))</ns0:f>
        <ns0:v>7.9999999999999982</ns0:v>
      </ns0:c>
      <ns0:c r="G148" s="95"/>
      <ns0:c r="H148" s="94">
        <ns0:f t="shared" ref="H148" si="248">IF((OR(H147="",H146="")),0,IF((H147&lt;H146),((H147-H146)*24)+24,(H147-H146)*24))</ns0:f>
        <ns0:v>0</ns0:v>
      </ns0:c>
      <ns0:c r="I148" s="95"/>
      <ns0:c r="J148" s="94">
        <ns0:f t="shared" ref="J148" si="249">IF((OR(J147="",J146="")),0,IF((J147&lt;J146),((J147-J146)*24)+24,(J147-J146)*24))</ns0:f>
        <ns0:v>0</ns0:v>
      </ns0:c>
      <ns0:c r="K148" s="95"/>
      <ns0:c r="L148" s="94">
        <ns0:f t="shared" ref="L148" si="250">IF((OR(L147="",L146="")),0,IF((L147&lt;L146),((L147-L146)*24)+24,(L147-L146)*24))</ns0:f>
        <ns0:v>7.9999999999999982</ns0:v>
      </ns0:c>
      <ns0:c r="M148" s="95"/>
      <ns0:c r="N148" s="94">
        <ns0:f t="shared" ref="N148" si="251">IF((OR(N147="",N146="")),0,IF((N147&lt;N146),((N147-N146)*24)+24,(N147-N146)*24))</ns0:f>
        <ns0:v>7.9999999999999982</ns0:v>
      </ns0:c>
      <ns0:c r="O148" s="95"/>
      <ns0:c r="P148" s="94">
        <ns0:f t="shared" ref="P148" si="252">IF((OR(P147="",P146="")),0,IF((P147&lt;P146),((P147-P146)*24)+24,(P147-P146)*24))</ns0:f>
        <ns0:v>7.9999999999999982</ns0:v>
      </ns0:c>
      <ns0:c r="Q148" s="95"/>
      <ns0:c r="R148" s="176"/>
      <ns0:c r="S148" s="24" t="s">
        <ns0:v>12</ns0:v>
      </ns0:c>
    </ns0:row>
    <ns0:row r="149" spans="1:20" s="1" customFormat="1" ht="15" customHeight="1" ns3:dyDescent="0.25">
      <ns0:c r="A149" s="57"/>
      <ns0:c r="B149" s="58" t="s">
        <ns0:v>53</ns0:v>
      </ns0:c>
      <ns0:c r="C149" s="155" t="s">
        <ns0:v>15</ns0:v>
      </ns0:c>
      <ns0:c r="D149" s="92"/>
      <ns0:c r="E149" s="93"/>
      <ns0:c r="F149" s="92"/>
      <ns0:c r="G149" s="93"/>
      <ns0:c r="H149" s="92"/>
      <ns0:c r="I149" s="93"/>
      <ns0:c r="J149" s="92"/>
      <ns0:c r="K149" s="93"/>
      <ns0:c r="L149" s="92"/>
      <ns0:c r="M149" s="93"/>
      <ns0:c r="N149" s="92"/>
      <ns0:c r="O149" s="93"/>
      <ns0:c r="P149" s="92"/>
      <ns0:c r="Q149" s="93"/>
      <ns0:c r="R149" s="177">
        <ns0:f>SUM(D151:P151)</ns0:f>
        <ns0:v>0</ns0:v>
      </ns0:c>
      <ns0:c r="S149" s="25" t="s">
        <ns0:v>8</ns0:v>
      </ns0:c>
    </ns0:row>
    <ns0:row r="150" spans="1:20" s="1" customFormat="1" ht="15" customHeight="1" ns3:dyDescent="0.25">
      <ns0:c r="A150" s="143" t="s">
        <ns0:v>16</ns0:v>
      </ns0:c>
      <ns0:c r="B150" s="144"/>
      <ns0:c r="C150" s="156"/>
      <ns0:c r="D150" s="92"/>
      <ns0:c r="E150" s="93"/>
      <ns0:c r="F150" s="92"/>
      <ns0:c r="G150" s="93"/>
      <ns0:c r="H150" s="92"/>
      <ns0:c r="I150" s="93"/>
      <ns0:c r="J150" s="92"/>
      <ns0:c r="K150" s="93"/>
      <ns0:c r="L150" s="92"/>
      <ns0:c r="M150" s="93"/>
      <ns0:c r="N150" s="92"/>
      <ns0:c r="O150" s="93"/>
      <ns0:c r="P150" s="92"/>
      <ns0:c r="Q150" s="93"/>
      <ns0:c r="R150" s="175"/>
      <ns0:c r="S150" s="25" t="s">
        <ns0:v>9</ns0:v>
      </ns0:c>
    </ns0:row>
    <ns0:row r="151" spans="1:20" s="1" customFormat="1" ht="15" customHeight="1" ns3:dyDescent="0.25">
      <ns0:c r="A151" s="141"/>
      <ns0:c r="B151" s="150"/>
      <ns0:c r="C151" s="157"/>
      <ns0:c r="D151" s="94">
        <ns0:f>IF((OR(D150="",D149="")),0,IF((D150&lt;D149),((D150-D149)*24)+24,(D150-D149)*24))</ns0:f>
        <ns0:v>0</ns0:v>
      </ns0:c>
      <ns0:c r="E151" s="95"/>
      <ns0:c r="F151" s="94">
        <ns0:f t="shared" ref="F151" si="253">IF((OR(F150="",F149="")),0,IF((F150&lt;F149),((F150-F149)*24)+24,(F150-F149)*24))</ns0:f>
        <ns0:v>0</ns0:v>
      </ns0:c>
      <ns0:c r="G151" s="95"/>
      <ns0:c r="H151" s="94">
        <ns0:f t="shared" ref="H151" si="254">IF((OR(H150="",H149="")),0,IF((H150&lt;H149),((H150-H149)*24)+24,(H150-H149)*24))</ns0:f>
        <ns0:v>0</ns0:v>
      </ns0:c>
      <ns0:c r="I151" s="95"/>
      <ns0:c r="J151" s="94">
        <ns0:f t="shared" ref="J151" si="255">IF((OR(J150="",J149="")),0,IF((J150&lt;J149),((J150-J149)*24)+24,(J150-J149)*24))</ns0:f>
        <ns0:v>0</ns0:v>
      </ns0:c>
      <ns0:c r="K151" s="95"/>
      <ns0:c r="L151" s="94">
        <ns0:f t="shared" ref="L151" si="256">IF((OR(L150="",L149="")),0,IF((L150&lt;L149),((L150-L149)*24)+24,(L150-L149)*24))</ns0:f>
        <ns0:v>0</ns0:v>
      </ns0:c>
      <ns0:c r="M151" s="95"/>
      <ns0:c r="N151" s="94">
        <ns0:f t="shared" ref="N151" si="257">IF((OR(N150="",N149="")),0,IF((N150&lt;N149),((N150-N149)*24)+24,(N150-N149)*24))</ns0:f>
        <ns0:v>0</ns0:v>
      </ns0:c>
      <ns0:c r="O151" s="95"/>
      <ns0:c r="P151" s="94">
        <ns0:f t="shared" ref="P151" si="258">IF((OR(P150="",P149="")),0,IF((P150&lt;P149),((P150-P149)*24)+24,(P150-P149)*24))</ns0:f>
        <ns0:v>0</ns0:v>
      </ns0:c>
      <ns0:c r="Q151" s="95"/>
      <ns0:c r="R151" s="176"/>
      <ns0:c r="S151" s="24" t="s">
        <ns0:v>12</ns0:v>
      </ns0:c>
    </ns0:row>
    <ns0:row r="152" spans="1:20" s="1" customFormat="1" ht="15" customHeight="1" ns3:dyDescent="0.25">
      <ns0:c r="A152" s="159"/>
      <ns0:c r="B152" s="160"/>
      <ns0:c r="C152" s="155" t="s">
        <ns0:v>17</ns0:v>
      </ns0:c>
      <ns0:c r="D152" s="92"/>
      <ns0:c r="E152" s="93"/>
      <ns0:c r="F152" s="92"/>
      <ns0:c r="G152" s="93"/>
      <ns0:c r="H152" s="92"/>
      <ns0:c r="I152" s="93"/>
      <ns0:c r="J152" s="92"/>
      <ns0:c r="K152" s="93"/>
      <ns0:c r="L152" s="92"/>
      <ns0:c r="M152" s="93"/>
      <ns0:c r="N152" s="92"/>
      <ns0:c r="O152" s="93"/>
      <ns0:c r="P152" s="92"/>
      <ns0:c r="Q152" s="93"/>
      <ns0:c r="R152" s="177">
        <ns0:f>SUM(D154:P154)</ns0:f>
        <ns0:v>0</ns0:v>
      </ns0:c>
      <ns0:c r="S152" s="25" t="s">
        <ns0:v>8</ns0:v>
      </ns0:c>
    </ns0:row>
    <ns0:row r="153" spans="1:20" s="1" customFormat="1" ht="15" customHeight="1" ns3:dyDescent="0.25">
      <ns0:c r="A153" s="141"/>
      <ns0:c r="B153" s="142"/>
      <ns0:c r="C153" s="156"/>
      <ns0:c r="D153" s="92"/>
      <ns0:c r="E153" s="93"/>
      <ns0:c r="F153" s="92"/>
      <ns0:c r="G153" s="93"/>
      <ns0:c r="H153" s="92"/>
      <ns0:c r="I153" s="93"/>
      <ns0:c r="J153" s="92"/>
      <ns0:c r="K153" s="93"/>
      <ns0:c r="L153" s="92"/>
      <ns0:c r="M153" s="93"/>
      <ns0:c r="N153" s="92"/>
      <ns0:c r="O153" s="93"/>
      <ns0:c r="P153" s="92"/>
      <ns0:c r="Q153" s="93"/>
      <ns0:c r="R153" s="175"/>
      <ns0:c r="S153" s="25" t="s">
        <ns0:v>9</ns0:v>
      </ns0:c>
    </ns0:row>
    <ns0:row r="154" spans="1:20" s="1" customFormat="1" ht="15" customHeight="1" ns3:dyDescent="0.25">
      <ns0:c r="A154" s="148"/>
      <ns0:c r="B154" s="149"/>
      <ns0:c r="C154" s="157"/>
      <ns0:c r="D154" s="94">
        <ns0:f>IF((OR(D153="",D152="")),0,IF((D153&lt;D152),((D153-D152)*24)+24,(D153-D1246)*24))</ns0:f>
        <ns0:v>0</ns0:v>
      </ns0:c>
      <ns0:c r="E154" s="95"/>
      <ns0:c r="F154" s="94">
        <ns0:f>IF((OR(F153="",F152="")),0,IF((F153&lt;F152),((F153-F152)*24)+24,(F153-F1246)*24))</ns0:f>
        <ns0:v>0</ns0:v>
      </ns0:c>
      <ns0:c r="G154" s="95"/>
      <ns0:c r="H154" s="94">
        <ns0:f>IF((OR(H153="",H152="")),0,IF((H153&lt;H152),((H153-H152)*24)+24,(H153-H1246)*24))</ns0:f>
        <ns0:v>0</ns0:v>
      </ns0:c>
      <ns0:c r="I154" s="95"/>
      <ns0:c r="J154" s="94">
        <ns0:f>IF((OR(J153="",J152="")),0,IF((J153&lt;J152),((J153-J152)*24)+24,(J153-J1246)*24))</ns0:f>
        <ns0:v>0</ns0:v>
      </ns0:c>
      <ns0:c r="K154" s="95"/>
      <ns0:c r="L154" s="94">
        <ns0:f>IF((OR(L153="",L152="")),0,IF((L153&lt;L152),((L153-L152)*24)+24,(L153-L1246)*24))</ns0:f>
        <ns0:v>0</ns0:v>
      </ns0:c>
      <ns0:c r="M154" s="95"/>
      <ns0:c r="N154" s="94">
        <ns0:f>IF((OR(N153="",N152="")),0,IF((N153&lt;N152),((N153-N152)*24)+24,(N153-N1246)*24))</ns0:f>
        <ns0:v>0</ns0:v>
      </ns0:c>
      <ns0:c r="O154" s="95"/>
      <ns0:c r="P154" s="94">
        <ns0:f>IF((OR(P153="",P152="")),0,IF((P153&lt;P152),((P153-P152)*24)+24,(P153-P1246)*24))</ns0:f>
        <ns0:v>0</ns0:v>
      </ns0:c>
      <ns0:c r="Q154" s="95"/>
      <ns0:c r="R154" s="176"/>
      <ns0:c r="S154" s="27" t="s">
        <ns0:v>12</ns0:v>
      </ns0:c>
    </ns0:row>
    <ns0:row r="155" spans="1:20" s="1" customFormat="1" ht="15" customHeight="1" thickBot="1" ns3:dyDescent="0.3">
      <ns0:c r="A155" s="145" t="s">
        <ns0:v>18</ns0:v>
      </ns0:c>
      <ns0:c r="B155" s="146"/>
      <ns0:c r="C155" s="147"/>
      <ns0:c r="D155" s="96">
        <ns0:f>D154+D151+D148</ns0:f>
        <ns0:v>7.9999999999999982</ns0:v>
      </ns0:c>
      <ns0:c r="E155" s="97"/>
      <ns0:c r="F155" s="96">
        <ns0:f>F154+F151+F148</ns0:f>
        <ns0:v>7.9999999999999982</ns0:v>
      </ns0:c>
      <ns0:c r="G155" s="97"/>
      <ns0:c r="H155" s="96">
        <ns0:f t="shared" ref="H155" si="259">H154+H151+H148</ns0:f>
        <ns0:v>0</ns0:v>
      </ns0:c>
      <ns0:c r="I155" s="97"/>
      <ns0:c r="J155" s="96">
        <ns0:f t="shared" ref="J155" si="260">J154+J151+J148</ns0:f>
        <ns0:v>0</ns0:v>
      </ns0:c>
      <ns0:c r="K155" s="97"/>
      <ns0:c r="L155" s="96">
        <ns0:f t="shared" ref="L155" si="261">L154+L151+L148</ns0:f>
        <ns0:v>7.9999999999999982</ns0:v>
      </ns0:c>
      <ns0:c r="M155" s="97"/>
      <ns0:c r="N155" s="96">
        <ns0:f t="shared" ref="N155" si="262">N154+N151+N148</ns0:f>
        <ns0:v>7.9999999999999982</ns0:v>
      </ns0:c>
      <ns0:c r="O155" s="97"/>
      <ns0:c r="P155" s="96">
        <ns0:f t="shared" ref="P155" si="263">P154+P151+P148</ns0:f>
        <ns0:v>7.9999999999999982</ns0:v>
      </ns0:c>
      <ns0:c r="Q155" s="97"/>
      <ns0:c r="R155" s="28">
        <ns0:f>R152+R149+R146</ns0:f>
        <ns0:v>39.999999999999993</ns0:v>
      </ns0:c>
      <ns0:c r="S155" s="32" t="s">
        <ns0:v>12</ns0:v>
      </ns0:c>
    </ns0:row>
    <ns0:row r="156" spans="1:20" s="1" customFormat="1" ht="15" customHeight="1" ns3:dyDescent="0.25">
      <ns0:c r="A156" s="161" t="s">
        <ns0:v>6</ns0:v>
      </ns0:c>
      <ns0:c r="B156" s="162"/>
      <ns0:c r="C156" s="158" t="s">
        <ns0:v>7</ns0:v>
      </ns0:c>
      <ns0:c r="D156" s="100"/>
      <ns0:c r="E156" s="101"/>
      <ns0:c r="F156" s="100"/>
      <ns0:c r="G156" s="101"/>
      <ns0:c r="H156" s="100"/>
      <ns0:c r="I156" s="101"/>
      <ns0:c r="J156" s="100"/>
      <ns0:c r="K156" s="101"/>
      <ns0:c r="L156" s="100"/>
      <ns0:c r="M156" s="101"/>
      <ns0:c r="N156" s="100"/>
      <ns0:c r="O156" s="101"/>
      <ns0:c r="P156" s="100"/>
      <ns0:c r="Q156" s="101"/>
      <ns0:c r="R156" s="174">
        <ns0:f>SUM(D158:P158)</ns0:f>
        <ns0:v>0</ns0:v>
      </ns0:c>
      <ns0:c r="S156" s="20" t="s">
        <ns0:v>8</ns0:v>
      </ns0:c>
    </ns0:row>
    <ns0:row r="157" spans="1:20" s="1" customFormat="1" ht="15" customHeight="1" ns3:dyDescent="0.2">
      <ns0:c r="A157" s="106"/>
      <ns0:c r="B157" s="107"/>
      <ns0:c r="C157" s="156"/>
      <ns0:c r="D157" s="92"/>
      <ns0:c r="E157" s="93"/>
      <ns0:c r="F157" s="92"/>
      <ns0:c r="G157" s="93"/>
      <ns0:c r="H157" s="92"/>
      <ns0:c r="I157" s="93"/>
      <ns0:c r="J157" s="92"/>
      <ns0:c r="K157" s="93"/>
      <ns0:c r="L157" s="92"/>
      <ns0:c r="M157" s="93"/>
      <ns0:c r="N157" s="92"/>
      <ns0:c r="O157" s="93"/>
      <ns0:c r="P157" s="92"/>
      <ns0:c r="Q157" s="93"/>
      <ns0:c r="R157" s="175"/>
      <ns0:c r="S157" s="25" t="s">
        <ns0:v>9</ns0:v>
      </ns0:c>
    </ns0:row>
    <ns0:row r="158" spans="1:20" s="1" customFormat="1" ht="15" customHeight="1" ns3:dyDescent="0.25">
      <ns0:c r="A158" s="22" t="s">
        <ns0:v>10</ns0:v>
      </ns0:c>
      <ns0:c r="B158" s="23" t="s">
        <ns0:v>11</ns0:v>
      </ns0:c>
      <ns0:c r="C158" s="157"/>
      <ns0:c r="D158" s="94">
        <ns0:f>IF((OR(D157="",D156="")),0,IF((D157&lt;D156),((D157-D156)*24)+24,(D157-D156)*24))</ns0:f>
        <ns0:v>0</ns0:v>
      </ns0:c>
      <ns0:c r="E158" s="95"/>
      <ns0:c r="F158" s="94">
        <ns0:f t="shared" ref="F158" si="264">IF((OR(F157="",F156="")),0,IF((F157&lt;F156),((F157-F156)*24)+24,(F157-F156)*24))</ns0:f>
        <ns0:v>0</ns0:v>
      </ns0:c>
      <ns0:c r="G158" s="95"/>
      <ns0:c r="H158" s="94">
        <ns0:f t="shared" ref="H158" si="265">IF((OR(H157="",H156="")),0,IF((H157&lt;H156),((H157-H156)*24)+24,(H157-H156)*24))</ns0:f>
        <ns0:v>0</ns0:v>
      </ns0:c>
      <ns0:c r="I158" s="95"/>
      <ns0:c r="J158" s="94">
        <ns0:f t="shared" ref="J158" si="266">IF((OR(J157="",J156="")),0,IF((J157&lt;J156),((J157-J156)*24)+24,(J157-J156)*24))</ns0:f>
        <ns0:v>0</ns0:v>
      </ns0:c>
      <ns0:c r="K158" s="95"/>
      <ns0:c r="L158" s="94">
        <ns0:f t="shared" ref="L158" si="267">IF((OR(L157="",L156="")),0,IF((L157&lt;L156),((L157-L156)*24)+24,(L157-L156)*24))</ns0:f>
        <ns0:v>0</ns0:v>
      </ns0:c>
      <ns0:c r="M158" s="95"/>
      <ns0:c r="N158" s="94">
        <ns0:f t="shared" ref="N158" si="268">IF((OR(N157="",N156="")),0,IF((N157&lt;N156),((N157-N156)*24)+24,(N157-N156)*24))</ns0:f>
        <ns0:v>0</ns0:v>
      </ns0:c>
      <ns0:c r="O158" s="95"/>
      <ns0:c r="P158" s="94">
        <ns0:f t="shared" ref="P158" si="269">IF((OR(P157="",P156="")),0,IF((P157&lt;P156),((P157-P156)*24)+24,(P157-P156)*24))</ns0:f>
        <ns0:v>0</ns0:v>
      </ns0:c>
      <ns0:c r="Q158" s="95"/>
      <ns0:c r="R158" s="176"/>
      <ns0:c r="S158" s="24" t="s">
        <ns0:v>12</ns0:v>
      </ns0:c>
    </ns0:row>
    <ns0:row r="159" spans="1:20" s="1" customFormat="1" ht="15" customHeight="1" ns3:dyDescent="0.25">
      <ns0:c r="A159" s="57" t="s">
        <ns0:v>19</ns0:v>
      </ns0:c>
      <ns0:c r="B159" s="58"/>
      <ns0:c r="C159" s="155" t="s">
        <ns0:v>15</ns0:v>
      </ns0:c>
      <ns0:c r="D159" s="92"/>
      <ns0:c r="E159" s="93"/>
      <ns0:c r="F159" s="92"/>
      <ns0:c r="G159" s="93"/>
      <ns0:c r="H159" s="92"/>
      <ns0:c r="I159" s="93"/>
      <ns0:c r="J159" s="92"/>
      <ns0:c r="K159" s="93"/>
      <ns0:c r="L159" s="92"/>
      <ns0:c r="M159" s="93"/>
      <ns0:c r="N159" s="92"/>
      <ns0:c r="O159" s="93"/>
      <ns0:c r="P159" s="92"/>
      <ns0:c r="Q159" s="93"/>
      <ns0:c r="R159" s="177">
        <ns0:f>SUM(D161:P161)</ns0:f>
        <ns0:v>0</ns0:v>
      </ns0:c>
      <ns0:c r="S159" s="25" t="s">
        <ns0:v>8</ns0:v>
      </ns0:c>
    </ns0:row>
    <ns0:row r="160" spans="1:20" s="1" customFormat="1" ht="15" customHeight="1" ns3:dyDescent="0.25">
      <ns0:c r="A160" s="143" t="s">
        <ns0:v>16</ns0:v>
      </ns0:c>
      <ns0:c r="B160" s="144"/>
      <ns0:c r="C160" s="156"/>
      <ns0:c r="D160" s="92"/>
      <ns0:c r="E160" s="93"/>
      <ns0:c r="F160" s="92"/>
      <ns0:c r="G160" s="93"/>
      <ns0:c r="H160" s="92"/>
      <ns0:c r="I160" s="93"/>
      <ns0:c r="J160" s="92"/>
      <ns0:c r="K160" s="93"/>
      <ns0:c r="L160" s="92"/>
      <ns0:c r="M160" s="93"/>
      <ns0:c r="N160" s="92"/>
      <ns0:c r="O160" s="93"/>
      <ns0:c r="P160" s="92"/>
      <ns0:c r="Q160" s="93"/>
      <ns0:c r="R160" s="175"/>
      <ns0:c r="S160" s="25" t="s">
        <ns0:v>9</ns0:v>
      </ns0:c>
    </ns0:row>
    <ns0:row r="161" spans="1:20" s="1" customFormat="1" ht="15" customHeight="1" ns3:dyDescent="0.25">
      <ns0:c r="A161" s="141"/>
      <ns0:c r="B161" s="150"/>
      <ns0:c r="C161" s="157"/>
      <ns0:c r="D161" s="94">
        <ns0:f>IF((OR(D160="",D159="")),0,IF((D160&lt;D159),((D160-D159)*24)+24,(D160-D159)*24))</ns0:f>
        <ns0:v>0</ns0:v>
      </ns0:c>
      <ns0:c r="E161" s="95"/>
      <ns0:c r="F161" s="94">
        <ns0:f t="shared" ref="F161" si="270">IF((OR(F160="",F159="")),0,IF((F160&lt;F159),((F160-F159)*24)+24,(F160-F159)*24))</ns0:f>
        <ns0:v>0</ns0:v>
      </ns0:c>
      <ns0:c r="G161" s="95"/>
      <ns0:c r="H161" s="94">
        <ns0:f t="shared" ref="H161" si="271">IF((OR(H160="",H159="")),0,IF((H160&lt;H159),((H160-H159)*24)+24,(H160-H159)*24))</ns0:f>
        <ns0:v>0</ns0:v>
      </ns0:c>
      <ns0:c r="I161" s="95"/>
      <ns0:c r="J161" s="94">
        <ns0:f t="shared" ref="J161" si="272">IF((OR(J160="",J159="")),0,IF((J160&lt;J159),((J160-J159)*24)+24,(J160-J159)*24))</ns0:f>
        <ns0:v>0</ns0:v>
      </ns0:c>
      <ns0:c r="K161" s="95"/>
      <ns0:c r="L161" s="94">
        <ns0:f t="shared" ref="L161" si="273">IF((OR(L160="",L159="")),0,IF((L160&lt;L159),((L160-L159)*24)+24,(L160-L159)*24))</ns0:f>
        <ns0:v>0</ns0:v>
      </ns0:c>
      <ns0:c r="M161" s="95"/>
      <ns0:c r="N161" s="94">
        <ns0:f t="shared" ref="N161" si="274">IF((OR(N160="",N159="")),0,IF((N160&lt;N159),((N160-N159)*24)+24,(N160-N159)*24))</ns0:f>
        <ns0:v>0</ns0:v>
      </ns0:c>
      <ns0:c r="O161" s="95"/>
      <ns0:c r="P161" s="94">
        <ns0:f t="shared" ref="P161" si="275">IF((OR(P160="",P159="")),0,IF((P160&lt;P159),((P160-P159)*24)+24,(P160-P159)*24))</ns0:f>
        <ns0:v>0</ns0:v>
      </ns0:c>
      <ns0:c r="Q161" s="95"/>
      <ns0:c r="R161" s="176"/>
      <ns0:c r="S161" s="24" t="s">
        <ns0:v>12</ns0:v>
      </ns0:c>
    </ns0:row>
    <ns0:row r="162" spans="1:20" s="1" customFormat="1" ht="15" customHeight="1" ns3:dyDescent="0.25">
      <ns0:c r="A162" s="159"/>
      <ns0:c r="B162" s="160"/>
      <ns0:c r="C162" s="155" t="s">
        <ns0:v>17</ns0:v>
      </ns0:c>
      <ns0:c r="D162" s="92"/>
      <ns0:c r="E162" s="93"/>
      <ns0:c r="F162" s="92"/>
      <ns0:c r="G162" s="93"/>
      <ns0:c r="H162" s="92"/>
      <ns0:c r="I162" s="93"/>
      <ns0:c r="J162" s="92"/>
      <ns0:c r="K162" s="93"/>
      <ns0:c r="L162" s="92"/>
      <ns0:c r="M162" s="93"/>
      <ns0:c r="N162" s="92"/>
      <ns0:c r="O162" s="93"/>
      <ns0:c r="P162" s="92"/>
      <ns0:c r="Q162" s="93"/>
      <ns0:c r="R162" s="177">
        <ns0:f>SUM(D164:P164)</ns0:f>
        <ns0:v>0</ns0:v>
      </ns0:c>
      <ns0:c r="S162" s="25" t="s">
        <ns0:v>8</ns0:v>
      </ns0:c>
    </ns0:row>
    <ns0:row r="163" spans="1:20" s="1" customFormat="1" ht="15" customHeight="1" ns3:dyDescent="0.25">
      <ns0:c r="A163" s="141"/>
      <ns0:c r="B163" s="142"/>
      <ns0:c r="C163" s="156"/>
      <ns0:c r="D163" s="92"/>
      <ns0:c r="E163" s="93"/>
      <ns0:c r="F163" s="92"/>
      <ns0:c r="G163" s="93"/>
      <ns0:c r="H163" s="92"/>
      <ns0:c r="I163" s="93"/>
      <ns0:c r="J163" s="92"/>
      <ns0:c r="K163" s="93"/>
      <ns0:c r="L163" s="92"/>
      <ns0:c r="M163" s="93"/>
      <ns0:c r="N163" s="92"/>
      <ns0:c r="O163" s="93"/>
      <ns0:c r="P163" s="92"/>
      <ns0:c r="Q163" s="93"/>
      <ns0:c r="R163" s="175"/>
      <ns0:c r="S163" s="25" t="s">
        <ns0:v>9</ns0:v>
      </ns0:c>
    </ns0:row>
    <ns0:row r="164" spans="1:20" s="1" customFormat="1" ht="15" customHeight="1" thickBot="1" ns3:dyDescent="0.3">
      <ns0:c r="A164" s="148"/>
      <ns0:c r="B164" s="149"/>
      <ns0:c r="C164" s="157"/>
      <ns0:c r="D164" s="94">
        <ns0:f>IF((OR(D163="",D162="")),0,IF((D163&lt;D162),((D163-D162)*24)+24,(D163-D162)*24))</ns0:f>
        <ns0:v>0</ns0:v>
      </ns0:c>
      <ns0:c r="E164" s="95"/>
      <ns0:c r="F164" s="94">
        <ns0:f t="shared" ref="F164" si="276">IF((OR(F163="",F162="")),0,IF((F163&lt;F162),((F163-F162)*24)+24,(F163-F162)*24))</ns0:f>
        <ns0:v>0</ns0:v>
      </ns0:c>
      <ns0:c r="G164" s="95"/>
      <ns0:c r="H164" s="94">
        <ns0:f t="shared" ref="H164" si="277">IF((OR(H163="",H162="")),0,IF((H163&lt;H162),((H163-H162)*24)+24,(H163-H162)*24))</ns0:f>
        <ns0:v>0</ns0:v>
      </ns0:c>
      <ns0:c r="I164" s="95"/>
      <ns0:c r="J164" s="94">
        <ns0:f t="shared" ref="J164" si="278">IF((OR(J163="",J162="")),0,IF((J163&lt;J162),((J163-J162)*24)+24,(J163-J162)*24))</ns0:f>
        <ns0:v>0</ns0:v>
      </ns0:c>
      <ns0:c r="K164" s="95"/>
      <ns0:c r="L164" s="94">
        <ns0:f t="shared" ref="L164" si="279">IF((OR(L163="",L162="")),0,IF((L163&lt;L162),((L163-L162)*24)+24,(L163-L162)*24))</ns0:f>
        <ns0:v>0</ns0:v>
      </ns0:c>
      <ns0:c r="M164" s="95"/>
      <ns0:c r="N164" s="94">
        <ns0:f t="shared" ref="N164" si="280">IF((OR(N163="",N162="")),0,IF((N163&lt;N162),((N163-N162)*24)+24,(N163-N162)*24))</ns0:f>
        <ns0:v>0</ns0:v>
      </ns0:c>
      <ns0:c r="O164" s="95"/>
      <ns0:c r="P164" s="94">
        <ns0:f t="shared" ref="P164" si="281">IF((OR(P163="",P162="")),0,IF((P163&lt;P162),((P163-P162)*24)+24,(P163-P162)*24))</ns0:f>
        <ns0:v>0</ns0:v>
      </ns0:c>
      <ns0:c r="Q164" s="95"/>
      <ns0:c r="R164" s="176"/>
      <ns0:c r="S164" s="27" t="s">
        <ns0:v>12</ns0:v>
      </ns0:c>
    </ns0:row>
    <ns0:row r="165" spans="1:20" s="1" customFormat="1" ht="15" customHeight="1" thickBot="1" ns3:dyDescent="0.3">
      <ns0:c r="A165" s="165" t="s">
        <ns0:v>18</ns0:v>
      </ns0:c>
      <ns0:c r="B165" s="166"/>
      <ns0:c r="C165" s="167"/>
      <ns0:c r="D165" s="134">
        <ns0:f>D164+D161+D158</ns0:f>
        <ns0:v>0</ns0:v>
      </ns0:c>
      <ns0:c r="E165" s="135"/>
      <ns0:c r="F165" s="134">
        <ns0:f>F164+F161+F158</ns0:f>
        <ns0:v>0</ns0:v>
      </ns0:c>
      <ns0:c r="G165" s="135"/>
      <ns0:c r="H165" s="134">
        <ns0:f t="shared" ref="H165" si="282">H164+H161+H158</ns0:f>
        <ns0:v>0</ns0:v>
      </ns0:c>
      <ns0:c r="I165" s="135"/>
      <ns0:c r="J165" s="134">
        <ns0:f t="shared" ref="J165" si="283">J164+J161+J158</ns0:f>
        <ns0:v>0</ns0:v>
      </ns0:c>
      <ns0:c r="K165" s="135"/>
      <ns0:c r="L165" s="134">
        <ns0:f t="shared" ref="L165" si="284">L164+L161+L158</ns0:f>
        <ns0:v>0</ns0:v>
      </ns0:c>
      <ns0:c r="M165" s="135"/>
      <ns0:c r="N165" s="134">
        <ns0:f t="shared" ref="N165" si="285">N164+N161+N158</ns0:f>
        <ns0:v>0</ns0:v>
      </ns0:c>
      <ns0:c r="O165" s="135"/>
      <ns0:c r="P165" s="134">
        <ns0:f t="shared" ref="P165" si="286">P164+P161+P158</ns0:f>
        <ns0:v>0</ns0:v>
      </ns0:c>
      <ns0:c r="Q165" s="135"/>
      <ns0:c r="R165" s="62">
        <ns0:f>R162+R159+R156</ns0:f>
        <ns0:v>0</ns0:v>
      </ns0:c>
      <ns0:c r="S165" s="32" t="s">
        <ns0:v>12</ns0:v>
      </ns0:c>
    </ns0:row>
    <ns0:row r="166" spans="1:20" s="1" customFormat="1" ht="15" customHeight="1" ns3:dyDescent="0.25">
      <ns0:c r="A166" s="161" t="s">
        <ns0:v>6</ns0:v>
      </ns0:c>
      <ns0:c r="B166" s="162"/>
      <ns0:c r="C166" s="158" t="s">
        <ns0:v>7</ns0:v>
      </ns0:c>
      <ns0:c r="D166" s="98"/>
      <ns0:c r="E166" s="99"/>
      <ns0:c r="F166" s="98"/>
      <ns0:c r="G166" s="99"/>
      <ns0:c r="H166" s="98"/>
      <ns0:c r="I166" s="99"/>
      <ns0:c r="J166" s="98"/>
      <ns0:c r="K166" s="99"/>
      <ns0:c r="L166" s="98"/>
      <ns0:c r="M166" s="99"/>
      <ns0:c r="N166" s="98"/>
      <ns0:c r="O166" s="99"/>
      <ns0:c r="P166" s="98"/>
      <ns0:c r="Q166" s="99"/>
      <ns0:c r="R166" s="174">
        <ns0:f>SUM(D168:P168)</ns0:f>
        <ns0:v>0</ns0:v>
      </ns0:c>
      <ns0:c r="S166" s="20" t="s">
        <ns0:v>8</ns0:v>
      </ns0:c>
    </ns0:row>
    <ns0:row r="167" spans="1:20" s="1" customFormat="1" ht="15" customHeight="1" ns3:dyDescent="0.2">
      <ns0:c r="A167" s="106"/>
      <ns0:c r="B167" s="107"/>
      <ns0:c r="C167" s="156"/>
      <ns0:c r="D167" s="92"/>
      <ns0:c r="E167" s="93"/>
      <ns0:c r="F167" s="92"/>
      <ns0:c r="G167" s="93"/>
      <ns0:c r="H167" s="92"/>
      <ns0:c r="I167" s="93"/>
      <ns0:c r="J167" s="92"/>
      <ns0:c r="K167" s="93"/>
      <ns0:c r="L167" s="92"/>
      <ns0:c r="M167" s="93"/>
      <ns0:c r="N167" s="92"/>
      <ns0:c r="O167" s="93"/>
      <ns0:c r="P167" s="92"/>
      <ns0:c r="Q167" s="93"/>
      <ns0:c r="R167" s="175"/>
      <ns0:c r="S167" s="25" t="s">
        <ns0:v>9</ns0:v>
      </ns0:c>
    </ns0:row>
    <ns0:row r="168" spans="1:20" s="1" customFormat="1" ht="15" customHeight="1" ns3:dyDescent="0.25">
      <ns0:c r="A168" s="22" t="s">
        <ns0:v>10</ns0:v>
      </ns0:c>
      <ns0:c r="B168" s="23" t="s">
        <ns0:v>11</ns0:v>
      </ns0:c>
      <ns0:c r="C168" s="157"/>
      <ns0:c r="D168" s="94">
        <ns0:f>IF((OR(D167="",D166="")),0,IF((D167&lt;D166),((D167-D166)*24)+24,(D167-D166)*24))</ns0:f>
        <ns0:v>0</ns0:v>
      </ns0:c>
      <ns0:c r="E168" s="95"/>
      <ns0:c r="F168" s="94">
        <ns0:f t="shared" ref="F168" si="287">IF((OR(F167="",F166="")),0,IF((F167&lt;F166),((F167-F166)*24)+24,(F167-F166)*24))</ns0:f>
        <ns0:v>0</ns0:v>
      </ns0:c>
      <ns0:c r="G168" s="95"/>
      <ns0:c r="H168" s="94">
        <ns0:f t="shared" ref="H168" si="288">IF((OR(H167="",H166="")),0,IF((H167&lt;H166),((H167-H166)*24)+24,(H167-H166)*24))</ns0:f>
        <ns0:v>0</ns0:v>
      </ns0:c>
      <ns0:c r="I168" s="95"/>
      <ns0:c r="J168" s="94">
        <ns0:f t="shared" ref="J168" si="289">IF((OR(J167="",J166="")),0,IF((J167&lt;J166),((J167-J166)*24)+24,(J167-J166)*24))</ns0:f>
        <ns0:v>0</ns0:v>
      </ns0:c>
      <ns0:c r="K168" s="95"/>
      <ns0:c r="L168" s="94">
        <ns0:f t="shared" ref="L168" si="290">IF((OR(L167="",L166="")),0,IF((L167&lt;L166),((L167-L166)*24)+24,(L167-L166)*24))</ns0:f>
        <ns0:v>0</ns0:v>
      </ns0:c>
      <ns0:c r="M168" s="95"/>
      <ns0:c r="N168" s="94">
        <ns0:f t="shared" ref="N168" si="291">IF((OR(N167="",N166="")),0,IF((N167&lt;N166),((N167-N166)*24)+24,(N167-N166)*24))</ns0:f>
        <ns0:v>0</ns0:v>
      </ns0:c>
      <ns0:c r="O168" s="95"/>
      <ns0:c r="P168" s="94">
        <ns0:f t="shared" ref="P168" si="292">IF((OR(P167="",P166="")),0,IF((P167&lt;P166),((P167-P166)*24)+24,(P167-P166)*24))</ns0:f>
        <ns0:v>0</ns0:v>
      </ns0:c>
      <ns0:c r="Q168" s="95"/>
      <ns0:c r="R168" s="176"/>
      <ns0:c r="S168" s="24" t="s">
        <ns0:v>12</ns0:v>
      </ns0:c>
    </ns0:row>
    <ns0:row r="169" spans="1:20" s="1" customFormat="1" ht="15" customHeight="1" ns3:dyDescent="0.25">
      <ns0:c r="A169" s="57"/>
      <ns0:c r="B169" s="58"/>
      <ns0:c r="C169" s="155" t="s">
        <ns0:v>15</ns0:v>
      </ns0:c>
      <ns0:c r="D169" s="92"/>
      <ns0:c r="E169" s="93"/>
      <ns0:c r="F169" s="92"/>
      <ns0:c r="G169" s="93"/>
      <ns0:c r="H169" s="92"/>
      <ns0:c r="I169" s="93"/>
      <ns0:c r="J169" s="92"/>
      <ns0:c r="K169" s="93"/>
      <ns0:c r="L169" s="92"/>
      <ns0:c r="M169" s="93"/>
      <ns0:c r="N169" s="92"/>
      <ns0:c r="O169" s="93"/>
      <ns0:c r="P169" s="92"/>
      <ns0:c r="Q169" s="93"/>
      <ns0:c r="R169" s="177">
        <ns0:f>SUM(D171:P171)</ns0:f>
        <ns0:v>0</ns0:v>
      </ns0:c>
      <ns0:c r="S169" s="25" t="s">
        <ns0:v>8</ns0:v>
      </ns0:c>
    </ns0:row>
    <ns0:row r="170" spans="1:20" s="1" customFormat="1" ht="15" customHeight="1" ns3:dyDescent="0.25">
      <ns0:c r="A170" s="143" t="s">
        <ns0:v>16</ns0:v>
      </ns0:c>
      <ns0:c r="B170" s="144"/>
      <ns0:c r="C170" s="156"/>
      <ns0:c r="D170" s="92"/>
      <ns0:c r="E170" s="93"/>
      <ns0:c r="F170" s="92"/>
      <ns0:c r="G170" s="93"/>
      <ns0:c r="H170" s="92"/>
      <ns0:c r="I170" s="93"/>
      <ns0:c r="J170" s="92"/>
      <ns0:c r="K170" s="93"/>
      <ns0:c r="L170" s="92"/>
      <ns0:c r="M170" s="93"/>
      <ns0:c r="N170" s="92"/>
      <ns0:c r="O170" s="93"/>
      <ns0:c r="P170" s="92"/>
      <ns0:c r="Q170" s="93"/>
      <ns0:c r="R170" s="175"/>
      <ns0:c r="S170" s="25" t="s">
        <ns0:v>9</ns0:v>
      </ns0:c>
    </ns0:row>
    <ns0:row r="171" spans="1:20" s="1" customFormat="1" ht="15" customHeight="1" ns3:dyDescent="0.25">
      <ns0:c r="A171" s="141"/>
      <ns0:c r="B171" s="150"/>
      <ns0:c r="C171" s="157"/>
      <ns0:c r="D171" s="94">
        <ns0:f>IF((OR(D170="",D169="")),0,IF((D170&lt;D169),((D170-D169)*24)+24,(D170-D169)*24))</ns0:f>
        <ns0:v>0</ns0:v>
      </ns0:c>
      <ns0:c r="E171" s="95"/>
      <ns0:c r="F171" s="94">
        <ns0:f t="shared" ref="F171" si="293">IF((OR(F170="",F169="")),0,IF((F170&lt;F169),((F170-F169)*24)+24,(F170-F169)*24))</ns0:f>
        <ns0:v>0</ns0:v>
      </ns0:c>
      <ns0:c r="G171" s="95"/>
      <ns0:c r="H171" s="94">
        <ns0:f t="shared" ref="H171" si="294">IF((OR(H170="",H169="")),0,IF((H170&lt;H169),((H170-H169)*24)+24,(H170-H169)*24))</ns0:f>
        <ns0:v>0</ns0:v>
      </ns0:c>
      <ns0:c r="I171" s="95"/>
      <ns0:c r="J171" s="94">
        <ns0:f t="shared" ref="J171" si="295">IF((OR(J170="",J169="")),0,IF((J170&lt;J169),((J170-J169)*24)+24,(J170-J169)*24))</ns0:f>
        <ns0:v>0</ns0:v>
      </ns0:c>
      <ns0:c r="K171" s="95"/>
      <ns0:c r="L171" s="94">
        <ns0:f t="shared" ref="L171" si="296">IF((OR(L170="",L169="")),0,IF((L170&lt;L169),((L170-L169)*24)+24,(L170-L169)*24))</ns0:f>
        <ns0:v>0</ns0:v>
      </ns0:c>
      <ns0:c r="M171" s="95"/>
      <ns0:c r="N171" s="94">
        <ns0:f t="shared" ref="N171" si="297">IF((OR(N170="",N169="")),0,IF((N170&lt;N169),((N170-N169)*24)+24,(N170-N169)*24))</ns0:f>
        <ns0:v>0</ns0:v>
      </ns0:c>
      <ns0:c r="O171" s="95"/>
      <ns0:c r="P171" s="94">
        <ns0:f t="shared" ref="P171" si="298">IF((OR(P170="",P169="")),0,IF((P170&lt;P169),((P170-P169)*24)+24,(P170-P169)*24))</ns0:f>
        <ns0:v>0</ns0:v>
      </ns0:c>
      <ns0:c r="Q171" s="95"/>
      <ns0:c r="R171" s="176"/>
      <ns0:c r="S171" s="24" t="s">
        <ns0:v>12</ns0:v>
      </ns0:c>
    </ns0:row>
    <ns0:row r="172" spans="1:20" s="1" customFormat="1" ht="15" customHeight="1" ns3:dyDescent="0.25">
      <ns0:c r="A172" s="159"/>
      <ns0:c r="B172" s="160"/>
      <ns0:c r="C172" s="155" t="s">
        <ns0:v>17</ns0:v>
      </ns0:c>
      <ns0:c r="D172" s="92"/>
      <ns0:c r="E172" s="93"/>
      <ns0:c r="F172" s="92"/>
      <ns0:c r="G172" s="93"/>
      <ns0:c r="H172" s="92"/>
      <ns0:c r="I172" s="93"/>
      <ns0:c r="J172" s="92"/>
      <ns0:c r="K172" s="93"/>
      <ns0:c r="L172" s="92"/>
      <ns0:c r="M172" s="93"/>
      <ns0:c r="N172" s="92"/>
      <ns0:c r="O172" s="93"/>
      <ns0:c r="P172" s="92"/>
      <ns0:c r="Q172" s="93"/>
      <ns0:c r="R172" s="177">
        <ns0:f>SUM(D174:P174)</ns0:f>
        <ns0:v>0</ns0:v>
      </ns0:c>
      <ns0:c r="S172" s="25" t="s">
        <ns0:v>8</ns0:v>
      </ns0:c>
    </ns0:row>
    <ns0:row r="173" spans="1:20" s="1" customFormat="1" ht="15" customHeight="1" ns3:dyDescent="0.25">
      <ns0:c r="A173" s="141"/>
      <ns0:c r="B173" s="142"/>
      <ns0:c r="C173" s="156"/>
      <ns0:c r="D173" s="92"/>
      <ns0:c r="E173" s="93"/>
      <ns0:c r="F173" s="92"/>
      <ns0:c r="G173" s="93"/>
      <ns0:c r="H173" s="92"/>
      <ns0:c r="I173" s="93"/>
      <ns0:c r="J173" s="92"/>
      <ns0:c r="K173" s="93"/>
      <ns0:c r="L173" s="92"/>
      <ns0:c r="M173" s="93"/>
      <ns0:c r="N173" s="92"/>
      <ns0:c r="O173" s="93"/>
      <ns0:c r="P173" s="92"/>
      <ns0:c r="Q173" s="93"/>
      <ns0:c r="R173" s="175"/>
      <ns0:c r="S173" s="25" t="s">
        <ns0:v>9</ns0:v>
      </ns0:c>
    </ns0:row>
    <ns0:row r="174" spans="1:20" s="1" customFormat="1" ht="15" customHeight="1" thickBot="1" ns3:dyDescent="0.3">
      <ns0:c r="A174" s="148"/>
      <ns0:c r="B174" s="149"/>
      <ns0:c r="C174" s="157"/>
      <ns0:c r="D174" s="94">
        <ns0:f>IF((OR(D173="",D172="")),0,IF((D173&lt;D172),((D173-D172)*24)+24,(D173-D172)*24))</ns0:f>
        <ns0:v>0</ns0:v>
      </ns0:c>
      <ns0:c r="E174" s="95"/>
      <ns0:c r="F174" s="94">
        <ns0:f t="shared" ref="F174" si="299">IF((OR(F173="",F172="")),0,IF((F173&lt;F172),((F173-F172)*24)+24,(F173-F172)*24))</ns0:f>
        <ns0:v>0</ns0:v>
      </ns0:c>
      <ns0:c r="G174" s="95"/>
      <ns0:c r="H174" s="94">
        <ns0:f t="shared" ref="H174" si="300">IF((OR(H173="",H172="")),0,IF((H173&lt;H172),((H173-H172)*24)+24,(H173-H172)*24))</ns0:f>
        <ns0:v>0</ns0:v>
      </ns0:c>
      <ns0:c r="I174" s="95"/>
      <ns0:c r="J174" s="94">
        <ns0:f t="shared" ref="J174" si="301">IF((OR(J173="",J172="")),0,IF((J173&lt;J172),((J173-J172)*24)+24,(J173-J172)*24))</ns0:f>
        <ns0:v>0</ns0:v>
      </ns0:c>
      <ns0:c r="K174" s="95"/>
      <ns0:c r="L174" s="94">
        <ns0:f t="shared" ref="L174" si="302">IF((OR(L173="",L172="")),0,IF((L173&lt;L172),((L173-L172)*24)+24,(L173-L172)*24))</ns0:f>
        <ns0:v>0</ns0:v>
      </ns0:c>
      <ns0:c r="M174" s="95"/>
      <ns0:c r="N174" s="94">
        <ns0:f t="shared" ref="N174" si="303">IF((OR(N173="",N172="")),0,IF((N173&lt;N172),((N173-N172)*24)+24,(N173-N172)*24))</ns0:f>
        <ns0:v>0</ns0:v>
      </ns0:c>
      <ns0:c r="O174" s="95"/>
      <ns0:c r="P174" s="94">
        <ns0:f t="shared" ref="P174" si="304">IF((OR(P173="",P172="")),0,IF((P173&lt;P172),((P173-P172)*24)+24,(P173-P172)*24))</ns0:f>
        <ns0:v>0</ns0:v>
      </ns0:c>
      <ns0:c r="Q174" s="95"/>
      <ns0:c r="R174" s="176"/>
      <ns0:c r="S174" s="27" t="s">
        <ns0:v>12</ns0:v>
      </ns0:c>
    </ns0:row>
    <ns0:row r="175" spans="1:20" s="1" customFormat="1" ht="15" customHeight="1" thickBot="1" ns3:dyDescent="0.3">
      <ns0:c r="A175" s="145" t="s">
        <ns0:v>18</ns0:v>
      </ns0:c>
      <ns0:c r="B175" s="146"/>
      <ns0:c r="C175" s="147"/>
      <ns0:c r="D175" s="96">
        <ns0:f>D174+D171+D168</ns0:f>
        <ns0:v>0</ns0:v>
      </ns0:c>
      <ns0:c r="E175" s="97"/>
      <ns0:c r="F175" s="96">
        <ns0:f>F174+F171+F168</ns0:f>
        <ns0:v>0</ns0:v>
      </ns0:c>
      <ns0:c r="G175" s="97"/>
      <ns0:c r="H175" s="96">
        <ns0:f t="shared" ref="H175" si="305">H174+H171+H168</ns0:f>
        <ns0:v>0</ns0:v>
      </ns0:c>
      <ns0:c r="I175" s="97"/>
      <ns0:c r="J175" s="96">
        <ns0:f t="shared" ref="J175" si="306">J174+J171+J168</ns0:f>
        <ns0:v>0</ns0:v>
      </ns0:c>
      <ns0:c r="K175" s="97"/>
      <ns0:c r="L175" s="96">
        <ns0:f t="shared" ref="L175" si="307">L174+L171+L168</ns0:f>
        <ns0:v>0</ns0:v>
      </ns0:c>
      <ns0:c r="M175" s="97"/>
      <ns0:c r="N175" s="96">
        <ns0:f t="shared" ref="N175" si="308">N174+N171+N168</ns0:f>
        <ns0:v>0</ns0:v>
      </ns0:c>
      <ns0:c r="O175" s="97"/>
      <ns0:c r="P175" s="96">
        <ns0:f t="shared" ref="P175" si="309">P174+P171+P168</ns0:f>
        <ns0:v>0</ns0:v>
      </ns0:c>
      <ns0:c r="Q175" s="97"/>
      <ns0:c r="R175" s="28">
        <ns0:f>R172+R169+R166</ns0:f>
        <ns0:v>0</ns0:v>
      </ns0:c>
      <ns0:c r="S175" s="32" t="s">
        <ns0:v>12</ns0:v>
      </ns0:c>
    </ns0:row>
    <ns0:row r="176" spans="1:20" s="1" customFormat="1" ht="15" customHeight="1" ns3:dyDescent="0.25">
      <ns0:c r="A176" s="8"/>
      <ns0:c r="B176" s="2"/>
      <ns0:c r="C176" s="3"/>
      <ns0:c r="D176" s="3"/>
      <ns0:c r="E176" s="3"/>
      <ns0:c r="F176" s="3"/>
      <ns0:c r="G176" s="3"/>
      <ns0:c r="H176" s="3"/>
      <ns0:c r="I176" s="9"/>
      <ns0:c r="J176" s="4"/>
      <ns0:c r="K176" s="4" t="s">
        <ns0:v>0</ns0:v>
      </ns0:c>
      <ns0:c r="L176" s="84" t="str">
        <ns0:f>L1</ns0:f>
        <ns0:v>John Boerder</ns0:v>
      </ns0:c>
      <ns0:c r="M176" s="84"/>
      <ns0:c r="N176" s="84"/>
      <ns0:c r="O176" s="84"/>
      <ns0:c r="P176" s="84"/>
      <ns0:c r="Q176" s="3"/>
      <ns0:c r="R176" s="3"/>
      <ns0:c r="S176" s="3"/>
      <ns0:c r="T176" s="15"/>
    </ns0:row>
    <ns0:row r="177" spans="1:20" s="1" customFormat="1" ht="15" customHeight="1" ns3:dyDescent="0.3">
      <ns0:c r="A177" s="10" t="str">
        <ns0:f>A2</ns0:f>
        <ns0:v>CLIENT: PCA - Filer City, MI</ns0:v>
      </ns0:c>
      <ns0:c r="B177" s="11"/>
      <ns0:c r="C177" s="6"/>
      <ns0:c r="D177" s="6"/>
      <ns0:c r="E177" s="6"/>
      <ns0:c r="F177" s="6"/>
      <ns0:c r="G177" s="6"/>
      <ns0:c r="H177" s="6"/>
      <ns0:c r="I177" s="6"/>
      <ns0:c r="J177" s="5"/>
      <ns0:c r="K177" s="5" t="s">
        <ns0:v>1</ns0:v>
      </ns0:c>
      <ns0:c r="L177" s="85" t="str">
        <ns0:f>L2</ns0:f>
        <ns0:v>(231) 723-9951   Ext. 1331</ns0:v>
      </ns0:c>
      <ns0:c r="M177" s="85"/>
      <ns0:c r="N177" s="85"/>
      <ns0:c r="O177" s="85"/>
      <ns0:c r="P177" s="85"/>
      <ns0:c r="Q177" s="6" t="s">
        <ns0:v>2</ns0:v>
      </ns0:c>
      <ns0:c r="R177" s="16"/>
      <ns0:c r="S177" s="86">
        <ns0:f>S37</ns0:f>
        <ns0:v>46116</ns0:v>
      </ns0:c>
      <ns0:c r="T177" s="87"/>
    </ns0:row>
    <ns0:row r="178" spans="1:20" s="1" customFormat="1" ht="13.5" customHeight="1" thickBot="1" ns3:dyDescent="0.35">
      <ns0:c r="A178" s="12"/>
      <ns0:c r="B178" s="88"/>
      <ns0:c r="C178" s="88"/>
      <ns0:c r="D178" s="88"/>
      <ns0:c r="E178" s="88"/>
      <ns0:c r="F178" s="88"/>
      <ns0:c r="G178" s="88"/>
      <ns0:c r="H178" s="13"/>
      <ns0:c r="I178" s="14"/>
      <ns0:c r="J178" s="14"/>
      <ns0:c r="K178" s="14" t="s">
        <ns0:v>3</ns0:v>
      </ns0:c>
      <ns0:c r="L178" s="89" t="str">
        <ns0:f>L3</ns0:f>
        <ns0:v>(231) 388-5092</ns0:v>
      </ns0:c>
      <ns0:c r="M178" s="89"/>
      <ns0:c r="N178" s="89"/>
      <ns0:c r="O178" s="89"/>
      <ns0:c r="P178" s="89"/>
      <ns0:c r="Q178" s="90"/>
      <ns0:c r="R178" s="90"/>
      <ns0:c r="S178" s="90"/>
      <ns0:c r="T178" s="91"/>
    </ns0:row>
    <ns0:row r="179" spans="1:20" s="1" customFormat="1" ht="13.2" customHeight="1" thickBot="1" ns3:dyDescent="0.3">
      <ns0:c r="A179" s="206"/>
      <ns0:c r="B179" s="207"/>
      <ns0:c r="C179" s="208"/>
      <ns0:c r="D179" s="136" t="s">
        <ns0:v>4</ns0:v>
      </ns0:c>
      <ns0:c r="E179" s="137"/>
      <ns0:c r="F179" s="137"/>
      <ns0:c r="G179" s="137"/>
      <ns0:c r="H179" s="137"/>
      <ns0:c r="I179" s="137"/>
      <ns0:c r="J179" s="137"/>
      <ns0:c r="K179" s="137"/>
      <ns0:c r="L179" s="137"/>
      <ns0:c r="M179" s="137"/>
      <ns0:c r="N179" s="137"/>
      <ns0:c r="O179" s="137"/>
      <ns0:c r="P179" s="137"/>
      <ns0:c r="Q179" s="138"/>
      <ns0:c r="R179" s="17"/>
      <ns0:c r="S179" s="18"/>
      <ns0:c r="T179" s="18"/>
    </ns0:row>
    <ns0:row r="180" spans="1:20" s="1" customFormat="1" ht="13.2" customHeight="1" thickBot="1" ns3:dyDescent="0.3">
      <ns0:c r="A180" s="209"/>
      <ns0:c r="B180" s="210"/>
      <ns0:c r="C180" s="211"/>
      <ns0:c r="D180" s="102">
        <ns0:f>D40</ns0:f>
        <ns0:v>46110</ns0:v>
      </ns0:c>
      <ns0:c r="E180" s="104"/>
      <ns0:c r="F180" s="102">
        <ns0:f t="shared" ref="F180" si="310">F40</ns0:f>
        <ns0:v>46111</ns0:v>
      </ns0:c>
      <ns0:c r="G180" s="104"/>
      <ns0:c r="H180" s="102">
        <ns0:f t="shared" ref="H180" si="311">H40</ns0:f>
        <ns0:v>46112</ns0:v>
      </ns0:c>
      <ns0:c r="I180" s="104"/>
      <ns0:c r="J180" s="102">
        <ns0:f t="shared" ref="J180" si="312">J40</ns0:f>
        <ns0:v>46113</ns0:v>
      </ns0:c>
      <ns0:c r="K180" s="104"/>
      <ns0:c r="L180" s="102">
        <ns0:f t="shared" ref="L180" si="313">L40</ns0:f>
        <ns0:v>46114</ns0:v>
      </ns0:c>
      <ns0:c r="M180" s="104"/>
      <ns0:c r="N180" s="102">
        <ns0:f t="shared" ref="N180" si="314">N40</ns0:f>
        <ns0:v>46115</ns0:v>
      </ns0:c>
      <ns0:c r="O180" s="104"/>
      <ns0:c r="P180" s="102">
        <ns0:f t="shared" ref="P180" si="315">P40</ns0:f>
        <ns0:v>46116</ns0:v>
      </ns0:c>
      <ns0:c r="Q180" s="104"/>
      <ns0:c r="R180" s="19" t="s">
        <ns0:v>5</ns0:v>
      </ns0:c>
      <ns0:c r="S180" s="7"/>
      <ns0:c r="T180" s="7"/>
    </ns0:row>
    <ns0:row r="181" spans="1:20" s="1" customFormat="1" ht="15" customHeight="1" ns3:dyDescent="0.25">
      <ns0:c r="A181" s="161" t="s">
        <ns0:v>6</ns0:v>
      </ns0:c>
      <ns0:c r="B181" s="162"/>
      <ns0:c r="C181" s="158" t="s">
        <ns0:v>7</ns0:v>
      </ns0:c>
      <ns0:c r="D181" s="100"/>
      <ns0:c r="E181" s="101"/>
      <ns0:c r="F181" s="100">
        <ns0:v>0.58333333333333337</ns0:v>
      </ns0:c>
      <ns0:c r="G181" s="101"/>
      <ns0:c r="H181" s="100"/>
      <ns0:c r="I181" s="101"/>
      <ns0:c r="J181" s="100">
        <ns0:v>0.58333333333333337</ns0:v>
      </ns0:c>
      <ns0:c r="K181" s="101"/>
      <ns0:c r="L181" s="100"/>
      <ns0:c r="M181" s="101"/>
      <ns0:c r="N181" s="100"/>
      <ns0:c r="O181" s="101"/>
      <ns0:c r="P181" s="100"/>
      <ns0:c r="Q181" s="101"/>
      <ns0:c r="R181" s="174">
        <ns0:f>SUM(D183:P183)</ns0:f>
        <ns0:v>15.999999999999996</ns0:v>
      </ns0:c>
      <ns0:c r="S181" s="20" t="s">
        <ns0:v>8</ns0:v>
      </ns0:c>
    </ns0:row>
    <ns0:row r="182" spans="1:20" s="1" customFormat="1" ht="15" customHeight="1" ns3:dyDescent="0.2">
      <ns0:c r="A182" s="106" t="s">
        <ns0:v>63</ns0:v>
      </ns0:c>
      <ns0:c r="B182" s="107"/>
      <ns0:c r="C182" s="156"/>
      <ns0:c r="D182" s="92"/>
      <ns0:c r="E182" s="93"/>
      <ns0:c r="F182" s="92">
        <ns0:v>0.91666666666666663</ns0:v>
      </ns0:c>
      <ns0:c r="G182" s="93"/>
      <ns0:c r="H182" s="92"/>
      <ns0:c r="I182" s="93"/>
      <ns0:c r="J182" s="92">
        <ns0:v>0.91666666666666663</ns0:v>
      </ns0:c>
      <ns0:c r="K182" s="93"/>
      <ns0:c r="L182" s="92"/>
      <ns0:c r="M182" s="93"/>
      <ns0:c r="N182" s="92"/>
      <ns0:c r="O182" s="93"/>
      <ns0:c r="P182" s="92"/>
      <ns0:c r="Q182" s="93"/>
      <ns0:c r="R182" s="175"/>
      <ns0:c r="S182" s="25" t="s">
        <ns0:v>9</ns0:v>
      </ns0:c>
    </ns0:row>
    <ns0:row r="183" spans="1:20" s="1" customFormat="1" ht="15" customHeight="1" ns3:dyDescent="0.25">
      <ns0:c r="A183" s="22" t="s">
        <ns0:v>10</ns0:v>
      </ns0:c>
      <ns0:c r="B183" s="23" t="s">
        <ns0:v>11</ns0:v>
      </ns0:c>
      <ns0:c r="C183" s="157"/>
      <ns0:c r="D183" s="94">
        <ns0:f>IF((OR(D182="",D181="")),0,IF((D182&lt;D181),((D182-D181)*24)+24,(D182-D181)*24))</ns0:f>
        <ns0:v>0</ns0:v>
      </ns0:c>
      <ns0:c r="E183" s="95"/>
      <ns0:c r="F183" s="94">
        <ns0:f t="shared" ref="F183" si="316">IF((OR(F182="",F181="")),0,IF((F182&lt;F181),((F182-F181)*24)+24,(F182-F181)*24))</ns0:f>
        <ns0:v>7.9999999999999982</ns0:v>
      </ns0:c>
      <ns0:c r="G183" s="95"/>
      <ns0:c r="H183" s="94">
        <ns0:f t="shared" ref="H183" si="317">IF((OR(H182="",H181="")),0,IF((H182&lt;H181),((H182-H181)*24)+24,(H182-H181)*24))</ns0:f>
        <ns0:v>0</ns0:v>
      </ns0:c>
      <ns0:c r="I183" s="95"/>
      <ns0:c r="J183" s="94">
        <ns0:f t="shared" ref="J183" si="318">IF((OR(J182="",J181="")),0,IF((J182&lt;J181),((J182-J181)*24)+24,(J182-J181)*24))</ns0:f>
        <ns0:v>7.9999999999999982</ns0:v>
      </ns0:c>
      <ns0:c r="K183" s="95"/>
      <ns0:c r="L183" s="94">
        <ns0:f t="shared" ref="L183:N183" si="319">IF((OR(L182="",L181="")),0,IF((L182&lt;L181),((L182-L181)*24)+24,(L182-L181)*24))</ns0:f>
        <ns0:v>0</ns0:v>
      </ns0:c>
      <ns0:c r="M183" s="95"/>
      <ns0:c r="N183" s="94">
        <ns0:f t="shared" si="319"/>
        <ns0:v>0</ns0:v>
      </ns0:c>
      <ns0:c r="O183" s="95"/>
      <ns0:c r="P183" s="94">
        <ns0:f t="shared" ref="P183" si="320">IF((OR(P182="",P181="")),0,IF((P182&lt;P181),((P182-P181)*24)+24,(P182-P181)*24))</ns0:f>
        <ns0:v>0</ns0:v>
      </ns0:c>
      <ns0:c r="Q183" s="95"/>
      <ns0:c r="R183" s="176"/>
      <ns0:c r="S183" s="24" t="s">
        <ns0:v>12</ns0:v>
      </ns0:c>
    </ns0:row>
    <ns0:row r="184" spans="1:20" s="1" customFormat="1" ht="15" customHeight="1" ns3:dyDescent="0.25">
      <ns0:c r="A184" s="57" t="s">
        <ns0:v>19</ns0:v>
      </ns0:c>
      <ns0:c r="B184" s="58" t="s">
        <ns0:v>55</ns0:v>
      </ns0:c>
      <ns0:c r="C184" s="155" t="s">
        <ns0:v>15</ns0:v>
      </ns0:c>
      <ns0:c r="D184" s="92"/>
      <ns0:c r="E184" s="93"/>
      <ns0:c r="F184" s="92"/>
      <ns0:c r="G184" s="93"/>
      <ns0:c r="H184" s="92"/>
      <ns0:c r="I184" s="93"/>
      <ns0:c r="J184" s="92"/>
      <ns0:c r="K184" s="93"/>
      <ns0:c r="L184" s="92"/>
      <ns0:c r="M184" s="93"/>
      <ns0:c r="N184" s="92"/>
      <ns0:c r="O184" s="93"/>
      <ns0:c r="P184" s="92"/>
      <ns0:c r="Q184" s="93"/>
      <ns0:c r="R184" s="177">
        <ns0:f>SUM(D186:P186)</ns0:f>
        <ns0:v>0</ns0:v>
      </ns0:c>
      <ns0:c r="S184" s="25" t="s">
        <ns0:v>8</ns0:v>
      </ns0:c>
    </ns0:row>
    <ns0:row r="185" spans="1:20" s="1" customFormat="1" ht="15" customHeight="1" ns3:dyDescent="0.25">
      <ns0:c r="A185" s="143" t="s">
        <ns0:v>16</ns0:v>
      </ns0:c>
      <ns0:c r="B185" s="144"/>
      <ns0:c r="C185" s="156"/>
      <ns0:c r="D185" s="92"/>
      <ns0:c r="E185" s="93"/>
      <ns0:c r="F185" s="92"/>
      <ns0:c r="G185" s="93"/>
      <ns0:c r="H185" s="92"/>
      <ns0:c r="I185" s="93"/>
      <ns0:c r="J185" s="92"/>
      <ns0:c r="K185" s="93"/>
      <ns0:c r="L185" s="92"/>
      <ns0:c r="M185" s="93"/>
      <ns0:c r="N185" s="92"/>
      <ns0:c r="O185" s="93"/>
      <ns0:c r="P185" s="92"/>
      <ns0:c r="Q185" s="93"/>
      <ns0:c r="R185" s="175"/>
      <ns0:c r="S185" s="25" t="s">
        <ns0:v>9</ns0:v>
      </ns0:c>
    </ns0:row>
    <ns0:row r="186" spans="1:20" s="1" customFormat="1" ht="15" customHeight="1" ns3:dyDescent="0.25">
      <ns0:c r="A186" s="141" t="s">
        <ns0:v>81</ns0:v>
      </ns0:c>
      <ns0:c r="B186" s="150"/>
      <ns0:c r="C186" s="157"/>
      <ns0:c r="D186" s="94">
        <ns0:f>IF((OR(D185="",D184="")),0,IF((D185&lt;D184),((D185-D184)*24)+24,(D185-D184)*24))</ns0:f>
        <ns0:v>0</ns0:v>
      </ns0:c>
      <ns0:c r="E186" s="95"/>
      <ns0:c r="F186" s="94">
        <ns0:f t="shared" ref="F186" si="321">IF((OR(F185="",F184="")),0,IF((F185&lt;F184),((F185-F184)*24)+24,(F185-F184)*24))</ns0:f>
        <ns0:v>0</ns0:v>
      </ns0:c>
      <ns0:c r="G186" s="95"/>
      <ns0:c r="H186" s="94">
        <ns0:f t="shared" ref="H186" si="322">IF((OR(H185="",H184="")),0,IF((H185&lt;H184),((H185-H184)*24)+24,(H185-H184)*24))</ns0:f>
        <ns0:v>0</ns0:v>
      </ns0:c>
      <ns0:c r="I186" s="95"/>
      <ns0:c r="J186" s="94">
        <ns0:f t="shared" ref="J186" si="323">IF((OR(J185="",J184="")),0,IF((J185&lt;J184),((J185-J184)*24)+24,(J185-J184)*24))</ns0:f>
        <ns0:v>0</ns0:v>
      </ns0:c>
      <ns0:c r="K186" s="95"/>
      <ns0:c r="L186" s="94">
        <ns0:f t="shared" ref="L186" si="324">IF((OR(L185="",L184="")),0,IF((L185&lt;L184),((L185-L184)*24)+24,(L185-L184)*24))</ns0:f>
        <ns0:v>0</ns0:v>
      </ns0:c>
      <ns0:c r="M186" s="95"/>
      <ns0:c r="N186" s="94">
        <ns0:f t="shared" ref="N186" si="325">IF((OR(N185="",N184="")),0,IF((N185&lt;N184),((N185-N184)*24)+24,(N185-N184)*24))</ns0:f>
        <ns0:v>0</ns0:v>
      </ns0:c>
      <ns0:c r="O186" s="95"/>
      <ns0:c r="P186" s="94">
        <ns0:f t="shared" ref="P186" si="326">IF((OR(P185="",P184="")),0,IF((P185&lt;P184),((P185-P184)*24)+24,(P185-P184)*24))</ns0:f>
        <ns0:v>0</ns0:v>
      </ns0:c>
      <ns0:c r="Q186" s="95"/>
      <ns0:c r="R186" s="176"/>
      <ns0:c r="S186" s="24" t="s">
        <ns0:v>12</ns0:v>
      </ns0:c>
    </ns0:row>
    <ns0:row r="187" spans="1:20" s="1" customFormat="1" ht="15" customHeight="1" ns3:dyDescent="0.25">
      <ns0:c r="A187" s="159" t="s">
        <ns0:v>82</ns0:v>
      </ns0:c>
      <ns0:c r="B187" s="160"/>
      <ns0:c r="C187" s="155" t="s">
        <ns0:v>17</ns0:v>
      </ns0:c>
      <ns0:c r="D187" s="92"/>
      <ns0:c r="E187" s="93"/>
      <ns0:c r="F187" s="92"/>
      <ns0:c r="G187" s="93"/>
      <ns0:c r="H187" s="92"/>
      <ns0:c r="I187" s="93"/>
      <ns0:c r="J187" s="92"/>
      <ns0:c r="K187" s="93"/>
      <ns0:c r="L187" s="92"/>
      <ns0:c r="M187" s="93"/>
      <ns0:c r="N187" s="92"/>
      <ns0:c r="O187" s="93"/>
      <ns0:c r="P187" s="92"/>
      <ns0:c r="Q187" s="93"/>
      <ns0:c r="R187" s="177">
        <ns0:f>SUM(D189:P189)</ns0:f>
        <ns0:v>0</ns0:v>
      </ns0:c>
      <ns0:c r="S187" s="25" t="s">
        <ns0:v>8</ns0:v>
      </ns0:c>
    </ns0:row>
    <ns0:row r="188" spans="1:20" s="1" customFormat="1" ht="15" customHeight="1" ns3:dyDescent="0.25">
      <ns0:c r="A188" s="141"/>
      <ns0:c r="B188" s="142"/>
      <ns0:c r="C188" s="156"/>
      <ns0:c r="D188" s="92"/>
      <ns0:c r="E188" s="93"/>
      <ns0:c r="F188" s="92"/>
      <ns0:c r="G188" s="93"/>
      <ns0:c r="H188" s="92"/>
      <ns0:c r="I188" s="93"/>
      <ns0:c r="J188" s="92"/>
      <ns0:c r="K188" s="93"/>
      <ns0:c r="L188" s="92"/>
      <ns0:c r="M188" s="93"/>
      <ns0:c r="N188" s="92"/>
      <ns0:c r="O188" s="93"/>
      <ns0:c r="P188" s="92"/>
      <ns0:c r="Q188" s="93"/>
      <ns0:c r="R188" s="175"/>
      <ns0:c r="S188" s="25" t="s">
        <ns0:v>9</ns0:v>
      </ns0:c>
    </ns0:row>
    <ns0:row r="189" spans="1:20" s="1" customFormat="1" ht="15" customHeight="1" thickBot="1" ns3:dyDescent="0.3">
      <ns0:c r="A189" s="198"/>
      <ns0:c r="B189" s="149"/>
      <ns0:c r="C189" s="157"/>
      <ns0:c r="D189" s="94">
        <ns0:f>IF((OR(D188="",D187="")),0,IF((D188&lt;D187),((D188-D187)*24)+24,(D188-D187)*24))</ns0:f>
        <ns0:v>0</ns0:v>
      </ns0:c>
      <ns0:c r="E189" s="95"/>
      <ns0:c r="F189" s="94">
        <ns0:f t="shared" ref="F189" si="327">IF((OR(F188="",F187="")),0,IF((F188&lt;F187),((F188-F187)*24)+24,(F188-F187)*24))</ns0:f>
        <ns0:v>0</ns0:v>
      </ns0:c>
      <ns0:c r="G189" s="95"/>
      <ns0:c r="H189" s="94">
        <ns0:f t="shared" ref="H189" si="328">IF((OR(H188="",H187="")),0,IF((H188&lt;H187),((H188-H187)*24)+24,(H188-H187)*24))</ns0:f>
        <ns0:v>0</ns0:v>
      </ns0:c>
      <ns0:c r="I189" s="95"/>
      <ns0:c r="J189" s="94">
        <ns0:f t="shared" ref="J189" si="329">IF((OR(J188="",J187="")),0,IF((J188&lt;J187),((J188-J187)*24)+24,(J188-J187)*24))</ns0:f>
        <ns0:v>0</ns0:v>
      </ns0:c>
      <ns0:c r="K189" s="95"/>
      <ns0:c r="L189" s="94">
        <ns0:f t="shared" ref="L189" si="330">IF((OR(L188="",L187="")),0,IF((L188&lt;L187),((L188-L187)*24)+24,(L188-L187)*24))</ns0:f>
        <ns0:v>0</ns0:v>
      </ns0:c>
      <ns0:c r="M189" s="95"/>
      <ns0:c r="N189" s="94">
        <ns0:f t="shared" ref="N189" si="331">IF((OR(N188="",N187="")),0,IF((N188&lt;N187),((N188-N187)*24)+24,(N188-N187)*24))</ns0:f>
        <ns0:v>0</ns0:v>
      </ns0:c>
      <ns0:c r="O189" s="95"/>
      <ns0:c r="P189" s="94">
        <ns0:f t="shared" ref="P189" si="332">IF((OR(P188="",P187="")),0,IF((P188&lt;P187),((P188-P187)*24)+24,(P188-P187)*24))</ns0:f>
        <ns0:v>0</ns0:v>
      </ns0:c>
      <ns0:c r="Q189" s="95"/>
      <ns0:c r="R189" s="176"/>
      <ns0:c r="S189" s="27" t="s">
        <ns0:v>12</ns0:v>
      </ns0:c>
    </ns0:row>
    <ns0:row r="190" spans="1:20" s="1" customFormat="1" ht="15" customHeight="1" thickBot="1" ns3:dyDescent="0.3">
      <ns0:c r="A190" s="165" t="s">
        <ns0:v>18</ns0:v>
      </ns0:c>
      <ns0:c r="B190" s="166"/>
      <ns0:c r="C190" s="167"/>
      <ns0:c r="D190" s="134">
        <ns0:f>D189+D186+D183</ns0:f>
        <ns0:v>0</ns0:v>
      </ns0:c>
      <ns0:c r="E190" s="135"/>
      <ns0:c r="F190" s="134">
        <ns0:f>F189+F186+F183</ns0:f>
        <ns0:v>7.9999999999999982</ns0:v>
      </ns0:c>
      <ns0:c r="G190" s="135"/>
      <ns0:c r="H190" s="134">
        <ns0:f t="shared" ref="H190" si="333">H189+H186+H183</ns0:f>
        <ns0:v>0</ns0:v>
      </ns0:c>
      <ns0:c r="I190" s="135"/>
      <ns0:c r="J190" s="134">
        <ns0:f t="shared" ref="J190" si="334">J189+J186+J183</ns0:f>
        <ns0:v>7.9999999999999982</ns0:v>
      </ns0:c>
      <ns0:c r="K190" s="135"/>
      <ns0:c r="L190" s="134">
        <ns0:f t="shared" ref="L190" si="335">L189+L186+L183</ns0:f>
        <ns0:v>0</ns0:v>
      </ns0:c>
      <ns0:c r="M190" s="135"/>
      <ns0:c r="N190" s="134">
        <ns0:f t="shared" ref="N190" si="336">N189+N186+N183</ns0:f>
        <ns0:v>0</ns0:v>
      </ns0:c>
      <ns0:c r="O190" s="135"/>
      <ns0:c r="P190" s="134">
        <ns0:f t="shared" ref="P190" si="337">P189+P186+P183</ns0:f>
        <ns0:v>0</ns0:v>
      </ns0:c>
      <ns0:c r="Q190" s="135"/>
      <ns0:c r="R190" s="62">
        <ns0:f>R187+R184+R181</ns0:f>
        <ns0:v>15.999999999999996</ns0:v>
      </ns0:c>
      <ns0:c r="S190" s="32" t="s">
        <ns0:v>12</ns0:v>
      </ns0:c>
    </ns0:row>
    <ns0:row r="191" spans="1:20" s="1" customFormat="1" ht="15" customHeight="1" ns3:dyDescent="0.25">
      <ns0:c r="A191" s="161" t="s">
        <ns0:v>6</ns0:v>
      </ns0:c>
      <ns0:c r="B191" s="162"/>
      <ns0:c r="C191" s="158" t="s">
        <ns0:v>7</ns0:v>
      </ns0:c>
      <ns0:c r="D191" s="98"/>
      <ns0:c r="E191" s="99"/>
      <ns0:c r="F191" s="98"/>
      <ns0:c r="G191" s="99"/>
      <ns0:c r="H191" s="98">
        <ns0:v>0.25</ns0:v>
      </ns0:c>
      <ns0:c r="I191" s="99"/>
      <ns0:c r="J191" s="98">
        <ns0:v>0.25</ns0:v>
      </ns0:c>
      <ns0:c r="K191" s="99"/>
      <ns0:c r="L191" s="98"/>
      <ns0:c r="M191" s="99"/>
      <ns0:c r="N191" s="98"/>
      <ns0:c r="O191" s="99"/>
      <ns0:c r="P191" s="98"/>
      <ns0:c r="Q191" s="99"/>
      <ns0:c r="R191" s="174">
        <ns0:f>SUM(D193:P193)</ns0:f>
        <ns0:v>24</ns0:v>
      </ns0:c>
      <ns0:c r="S191" s="20" t="s">
        <ns0:v>8</ns0:v>
      </ns0:c>
    </ns0:row>
    <ns0:row r="192" spans="1:20" s="1" customFormat="1" ht="15" customHeight="1" ns3:dyDescent="0.2">
      <ns0:c r="A192" s="106" t="s">
        <ns0:v>56</ns0:v>
      </ns0:c>
      <ns0:c r="B192" s="107"/>
      <ns0:c r="C192" s="156"/>
      <ns0:c r="D192" s="92"/>
      <ns0:c r="E192" s="93"/>
      <ns0:c r="F192" s="92"/>
      <ns0:c r="G192" s="93"/>
      <ns0:c r="H192" s="92">
        <ns0:v>0.91666666666666663</ns0:v>
      </ns0:c>
      <ns0:c r="I192" s="93"/>
      <ns0:c r="J192" s="92">
        <ns0:v>0.58333333333333337</ns0:v>
      </ns0:c>
      <ns0:c r="K192" s="93"/>
      <ns0:c r="L192" s="92"/>
      <ns0:c r="M192" s="93"/>
      <ns0:c r="N192" s="92"/>
      <ns0:c r="O192" s="93"/>
      <ns0:c r="P192" s="92"/>
      <ns0:c r="Q192" s="93"/>
      <ns0:c r="R192" s="175"/>
      <ns0:c r="S192" s="25" t="s">
        <ns0:v>9</ns0:v>
      </ns0:c>
    </ns0:row>
    <ns0:row r="193" spans="1:19" s="1" customFormat="1" ht="15" customHeight="1" ns3:dyDescent="0.25">
      <ns0:c r="A193" s="22" t="s">
        <ns0:v>10</ns0:v>
      </ns0:c>
      <ns0:c r="B193" s="23" t="s">
        <ns0:v>11</ns0:v>
      </ns0:c>
      <ns0:c r="C193" s="157"/>
      <ns0:c r="D193" s="94">
        <ns0:f>IF((OR(D192="",D191="")),0,IF((D192&lt;D191),((D192-D191)*24)+24,(D192-D191)*24))</ns0:f>
        <ns0:v>0</ns0:v>
      </ns0:c>
      <ns0:c r="E193" s="95"/>
      <ns0:c r="F193" s="94">
        <ns0:f t="shared" ref="F193" si="338">IF((OR(F192="",F191="")),0,IF((F192&lt;F191),((F192-F191)*24)+24,(F192-F191)*24))</ns0:f>
        <ns0:v>0</ns0:v>
      </ns0:c>
      <ns0:c r="G193" s="95"/>
      <ns0:c r="H193" s="94">
        <ns0:f t="shared" ref="H193" si="339">IF((OR(H192="",H191="")),0,IF((H192&lt;H191),((H192-H191)*24)+24,(H192-H191)*24))</ns0:f>
        <ns0:v>16</ns0:v>
      </ns0:c>
      <ns0:c r="I193" s="95"/>
      <ns0:c r="J193" s="94">
        <ns0:f t="shared" ref="J193" si="340">IF((OR(J192="",J191="")),0,IF((J192&lt;J191),((J192-J191)*24)+24,(J192-J191)*24))</ns0:f>
        <ns0:v>8</ns0:v>
      </ns0:c>
      <ns0:c r="K193" s="95"/>
      <ns0:c r="L193" s="94">
        <ns0:f t="shared" ref="L193" si="341">IF((OR(L192="",L191="")),0,IF((L192&lt;L191),((L192-L191)*24)+24,(L192-L191)*24))</ns0:f>
        <ns0:v>0</ns0:v>
      </ns0:c>
      <ns0:c r="M193" s="95"/>
      <ns0:c r="N193" s="94">
        <ns0:f t="shared" ref="N193" si="342">IF((OR(N192="",N191="")),0,IF((N192&lt;N191),((N192-N191)*24)+24,(N192-N191)*24))</ns0:f>
        <ns0:v>0</ns0:v>
      </ns0:c>
      <ns0:c r="O193" s="95"/>
      <ns0:c r="P193" s="94">
        <ns0:f t="shared" ref="P193" si="343">IF((OR(P192="",P191="")),0,IF((P192&lt;P191),((P192-P191)*24)+24,(P192-P191)*24))</ns0:f>
        <ns0:v>0</ns0:v>
      </ns0:c>
      <ns0:c r="Q193" s="95"/>
      <ns0:c r="R193" s="176"/>
      <ns0:c r="S193" s="24" t="s">
        <ns0:v>12</ns0:v>
      </ns0:c>
    </ns0:row>
    <ns0:row r="194" spans="1:19" s="1" customFormat="1" ht="15" customHeight="1" ns3:dyDescent="0.25">
      <ns0:c r="A194" s="57" t="s">
        <ns0:v>19</ns0:v>
      </ns0:c>
      <ns0:c r="B194" s="58" t="s">
        <ns0:v>55</ns0:v>
      </ns0:c>
      <ns0:c r="C194" s="155" t="s">
        <ns0:v>15</ns0:v>
      </ns0:c>
      <ns0:c r="D194" s="92"/>
      <ns0:c r="E194" s="93"/>
      <ns0:c r="F194" s="92"/>
      <ns0:c r="G194" s="93"/>
      <ns0:c r="H194" s="92"/>
      <ns0:c r="I194" s="93"/>
      <ns0:c r="J194" s="92"/>
      <ns0:c r="K194" s="93"/>
      <ns0:c r="L194" s="92"/>
      <ns0:c r="M194" s="93"/>
      <ns0:c r="N194" s="92"/>
      <ns0:c r="O194" s="93"/>
      <ns0:c r="P194" s="92"/>
      <ns0:c r="Q194" s="93"/>
      <ns0:c r="R194" s="177">
        <ns0:f>SUM(D196:P196)</ns0:f>
        <ns0:v>0</ns0:v>
      </ns0:c>
      <ns0:c r="S194" s="25" t="s">
        <ns0:v>8</ns0:v>
      </ns0:c>
    </ns0:row>
    <ns0:row r="195" spans="1:19" s="1" customFormat="1" ht="15" customHeight="1" ns3:dyDescent="0.25">
      <ns0:c r="A195" s="143" t="s">
        <ns0:v>16</ns0:v>
      </ns0:c>
      <ns0:c r="B195" s="144"/>
      <ns0:c r="C195" s="156"/>
      <ns0:c r="D195" s="92"/>
      <ns0:c r="E195" s="93"/>
      <ns0:c r="F195" s="92"/>
      <ns0:c r="G195" s="93"/>
      <ns0:c r="H195" s="92"/>
      <ns0:c r="I195" s="93"/>
      <ns0:c r="J195" s="92"/>
      <ns0:c r="K195" s="93"/>
      <ns0:c r="L195" s="92"/>
      <ns0:c r="M195" s="93"/>
      <ns0:c r="N195" s="92"/>
      <ns0:c r="O195" s="93"/>
      <ns0:c r="P195" s="92"/>
      <ns0:c r="Q195" s="93"/>
      <ns0:c r="R195" s="175"/>
      <ns0:c r="S195" s="25" t="s">
        <ns0:v>9</ns0:v>
      </ns0:c>
    </ns0:row>
    <ns0:row r="196" spans="1:19" s="1" customFormat="1" ht="15" customHeight="1" ns3:dyDescent="0.25">
      <ns0:c r="A196" s="141"/>
      <ns0:c r="B196" s="150"/>
      <ns0:c r="C196" s="157"/>
      <ns0:c r="D196" s="94">
        <ns0:f>IF((OR(D195="",D194="")),0,IF((D195&lt;D194),((D195-D194)*24)+24,(D195-D194)*24))</ns0:f>
        <ns0:v>0</ns0:v>
      </ns0:c>
      <ns0:c r="E196" s="95"/>
      <ns0:c r="F196" s="94">
        <ns0:f t="shared" ref="F196" si="344">IF((OR(F195="",F194="")),0,IF((F195&lt;F194),((F195-F194)*24)+24,(F195-F194)*24))</ns0:f>
        <ns0:v>0</ns0:v>
      </ns0:c>
      <ns0:c r="G196" s="95"/>
      <ns0:c r="H196" s="94">
        <ns0:f t="shared" ref="H196" si="345">IF((OR(H195="",H194="")),0,IF((H195&lt;H194),((H195-H194)*24)+24,(H195-H194)*24))</ns0:f>
        <ns0:v>0</ns0:v>
      </ns0:c>
      <ns0:c r="I196" s="95"/>
      <ns0:c r="J196" s="94">
        <ns0:f t="shared" ref="J196" si="346">IF((OR(J195="",J194="")),0,IF((J195&lt;J194),((J195-J194)*24)+24,(J195-J194)*24))</ns0:f>
        <ns0:v>0</ns0:v>
      </ns0:c>
      <ns0:c r="K196" s="95"/>
      <ns0:c r="L196" s="94">
        <ns0:f t="shared" ref="L196" si="347">IF((OR(L195="",L194="")),0,IF((L195&lt;L194),((L195-L194)*24)+24,(L195-L194)*24))</ns0:f>
        <ns0:v>0</ns0:v>
      </ns0:c>
      <ns0:c r="M196" s="95"/>
      <ns0:c r="N196" s="94">
        <ns0:f t="shared" ref="N196" si="348">IF((OR(N195="",N194="")),0,IF((N195&lt;N194),((N195-N194)*24)+24,(N195-N194)*24))</ns0:f>
        <ns0:v>0</ns0:v>
      </ns0:c>
      <ns0:c r="O196" s="95"/>
      <ns0:c r="P196" s="94">
        <ns0:f t="shared" ref="P196" si="349">IF((OR(P195="",P194="")),0,IF((P195&lt;P194),((P195-P194)*24)+24,(P195-P194)*24))</ns0:f>
        <ns0:v>0</ns0:v>
      </ns0:c>
      <ns0:c r="Q196" s="95"/>
      <ns0:c r="R196" s="176"/>
      <ns0:c r="S196" s="24" t="s">
        <ns0:v>12</ns0:v>
      </ns0:c>
    </ns0:row>
    <ns0:row r="197" spans="1:19" s="1" customFormat="1" ht="15" customHeight="1" ns3:dyDescent="0.25">
      <ns0:c r="A197" s="159"/>
      <ns0:c r="B197" s="160"/>
      <ns0:c r="C197" s="155" t="s">
        <ns0:v>17</ns0:v>
      </ns0:c>
      <ns0:c r="D197" s="92"/>
      <ns0:c r="E197" s="93"/>
      <ns0:c r="F197" s="92"/>
      <ns0:c r="G197" s="93"/>
      <ns0:c r="H197" s="92"/>
      <ns0:c r="I197" s="93"/>
      <ns0:c r="J197" s="92"/>
      <ns0:c r="K197" s="93"/>
      <ns0:c r="L197" s="92"/>
      <ns0:c r="M197" s="93"/>
      <ns0:c r="N197" s="92"/>
      <ns0:c r="O197" s="93"/>
      <ns0:c r="P197" s="92"/>
      <ns0:c r="Q197" s="93"/>
      <ns0:c r="R197" s="177">
        <ns0:f>SUM(D199:P199)</ns0:f>
        <ns0:v>0</ns0:v>
      </ns0:c>
      <ns0:c r="S197" s="25" t="s">
        <ns0:v>8</ns0:v>
      </ns0:c>
    </ns0:row>
    <ns0:row r="198" spans="1:19" s="1" customFormat="1" ht="15" customHeight="1" ns3:dyDescent="0.25">
      <ns0:c r="A198" s="141"/>
      <ns0:c r="B198" s="142"/>
      <ns0:c r="C198" s="156"/>
      <ns0:c r="D198" s="92"/>
      <ns0:c r="E198" s="93"/>
      <ns0:c r="F198" s="92"/>
      <ns0:c r="G198" s="93"/>
      <ns0:c r="H198" s="92"/>
      <ns0:c r="I198" s="93"/>
      <ns0:c r="J198" s="92"/>
      <ns0:c r="K198" s="93"/>
      <ns0:c r="L198" s="92"/>
      <ns0:c r="M198" s="93"/>
      <ns0:c r="N198" s="92"/>
      <ns0:c r="O198" s="93"/>
      <ns0:c r="P198" s="92"/>
      <ns0:c r="Q198" s="93"/>
      <ns0:c r="R198" s="175"/>
      <ns0:c r="S198" s="25" t="s">
        <ns0:v>9</ns0:v>
      </ns0:c>
    </ns0:row>
    <ns0:row r="199" spans="1:19" s="1" customFormat="1" ht="15" customHeight="1" thickBot="1" ns3:dyDescent="0.3">
      <ns0:c r="A199" s="148"/>
      <ns0:c r="B199" s="149"/>
      <ns0:c r="C199" s="157"/>
      <ns0:c r="D199" s="94">
        <ns0:f>IF((OR(D198="",D197="")),0,IF((D198&lt;D197),((D198-D197)*24)+24,(D198-D197)*24))</ns0:f>
        <ns0:v>0</ns0:v>
      </ns0:c>
      <ns0:c r="E199" s="95"/>
      <ns0:c r="F199" s="94">
        <ns0:f t="shared" ref="F199" si="350">IF((OR(F198="",F197="")),0,IF((F198&lt;F197),((F198-F197)*24)+24,(F198-F197)*24))</ns0:f>
        <ns0:v>0</ns0:v>
      </ns0:c>
      <ns0:c r="G199" s="95"/>
      <ns0:c r="H199" s="94">
        <ns0:f t="shared" ref="H199" si="351">IF((OR(H198="",H197="")),0,IF((H198&lt;H197),((H198-H197)*24)+24,(H198-H197)*24))</ns0:f>
        <ns0:v>0</ns0:v>
      </ns0:c>
      <ns0:c r="I199" s="95"/>
      <ns0:c r="J199" s="94">
        <ns0:f t="shared" ref="J199" si="352">IF((OR(J198="",J197="")),0,IF((J198&lt;J197),((J198-J197)*24)+24,(J198-J197)*24))</ns0:f>
        <ns0:v>0</ns0:v>
      </ns0:c>
      <ns0:c r="K199" s="95"/>
      <ns0:c r="L199" s="94">
        <ns0:f t="shared" ref="L199" si="353">IF((OR(L198="",L197="")),0,IF((L198&lt;L197),((L198-L197)*24)+24,(L198-L197)*24))</ns0:f>
        <ns0:v>0</ns0:v>
      </ns0:c>
      <ns0:c r="M199" s="95"/>
      <ns0:c r="N199" s="94">
        <ns0:f t="shared" ref="N199" si="354">IF((OR(N198="",N197="")),0,IF((N198&lt;N197),((N198-N197)*24)+24,(N198-N197)*24))</ns0:f>
        <ns0:v>0</ns0:v>
      </ns0:c>
      <ns0:c r="O199" s="95"/>
      <ns0:c r="P199" s="94">
        <ns0:f t="shared" ref="P199" si="355">IF((OR(P198="",P197="")),0,IF((P198&lt;P197),((P198-P197)*24)+24,(P198-P197)*24))</ns0:f>
        <ns0:v>0</ns0:v>
      </ns0:c>
      <ns0:c r="Q199" s="95"/>
      <ns0:c r="R199" s="176"/>
      <ns0:c r="S199" s="27" t="s">
        <ns0:v>12</ns0:v>
      </ns0:c>
    </ns0:row>
    <ns0:row r="200" spans="1:19" s="1" customFormat="1" ht="15" customHeight="1" thickBot="1" ns3:dyDescent="0.3">
      <ns0:c r="A200" s="145" t="s">
        <ns0:v>18</ns0:v>
      </ns0:c>
      <ns0:c r="B200" s="146"/>
      <ns0:c r="C200" s="147"/>
      <ns0:c r="D200" s="96">
        <ns0:f>D199+D196+D193</ns0:f>
        <ns0:v>0</ns0:v>
      </ns0:c>
      <ns0:c r="E200" s="97"/>
      <ns0:c r="F200" s="96">
        <ns0:f>F199+F196+F193</ns0:f>
        <ns0:v>0</ns0:v>
      </ns0:c>
      <ns0:c r="G200" s="97"/>
      <ns0:c r="H200" s="96">
        <ns0:f t="shared" ref="H200" si="356">H199+H196+H193</ns0:f>
        <ns0:v>16</ns0:v>
      </ns0:c>
      <ns0:c r="I200" s="97"/>
      <ns0:c r="J200" s="96">
        <ns0:f t="shared" ref="J200" si="357">J199+J196+J193</ns0:f>
        <ns0:v>8</ns0:v>
      </ns0:c>
      <ns0:c r="K200" s="97"/>
      <ns0:c r="L200" s="96">
        <ns0:f t="shared" ref="L200" si="358">L199+L196+L193</ns0:f>
        <ns0:v>0</ns0:v>
      </ns0:c>
      <ns0:c r="M200" s="97"/>
      <ns0:c r="N200" s="96">
        <ns0:f t="shared" ref="N200" si="359">N199+N196+N193</ns0:f>
        <ns0:v>0</ns0:v>
      </ns0:c>
      <ns0:c r="O200" s="97"/>
      <ns0:c r="P200" s="96">
        <ns0:f t="shared" ref="P200" si="360">P199+P196+P193</ns0:f>
        <ns0:v>0</ns0:v>
      </ns0:c>
      <ns0:c r="Q200" s="97"/>
      <ns0:c r="R200" s="28">
        <ns0:f>R197+R194+R191</ns0:f>
        <ns0:v>24</ns0:v>
      </ns0:c>
      <ns0:c r="S200" s="32" t="s">
        <ns0:v>12</ns0:v>
      </ns0:c>
    </ns0:row>
    <ns0:row r="201" spans="1:19" s="1" customFormat="1" ht="15" customHeight="1" ns3:dyDescent="0.25">
      <ns0:c r="A201" s="161" t="s">
        <ns0:v>6</ns0:v>
      </ns0:c>
      <ns0:c r="B201" s="162"/>
      <ns0:c r="C201" s="158" t="s">
        <ns0:v>7</ns0:v>
      </ns0:c>
      <ns0:c r="D201" s="98"/>
      <ns0:c r="E201" s="99"/>
      <ns0:c r="F201" s="98"/>
      <ns0:c r="G201" s="99"/>
      <ns0:c r="H201" s="98"/>
      <ns0:c r="I201" s="99"/>
      <ns0:c r="J201" s="98"/>
      <ns0:c r="K201" s="99"/>
      <ns0:c r="L201" s="98"/>
      <ns0:c r="M201" s="99"/>
      <ns0:c r="N201" s="98"/>
      <ns0:c r="O201" s="99"/>
      <ns0:c r="P201" s="98"/>
      <ns0:c r="Q201" s="99"/>
      <ns0:c r="R201" s="174">
        <ns0:f>SUM(D203:P203)</ns0:f>
        <ns0:v>0</ns0:v>
      </ns0:c>
      <ns0:c r="S201" s="20" t="s">
        <ns0:v>8</ns0:v>
      </ns0:c>
    </ns0:row>
    <ns0:row r="202" spans="1:19" s="1" customFormat="1" ht="15" customHeight="1" ns3:dyDescent="0.2">
      <ns0:c r="A202" s="106"/>
      <ns0:c r="B202" s="107"/>
      <ns0:c r="C202" s="156"/>
      <ns0:c r="D202" s="92"/>
      <ns0:c r="E202" s="93"/>
      <ns0:c r="F202" s="92"/>
      <ns0:c r="G202" s="93"/>
      <ns0:c r="H202" s="92"/>
      <ns0:c r="I202" s="93"/>
      <ns0:c r="J202" s="92"/>
      <ns0:c r="K202" s="93"/>
      <ns0:c r="L202" s="92"/>
      <ns0:c r="M202" s="93"/>
      <ns0:c r="N202" s="92"/>
      <ns0:c r="O202" s="93"/>
      <ns0:c r="P202" s="92"/>
      <ns0:c r="Q202" s="93"/>
      <ns0:c r="R202" s="175"/>
      <ns0:c r="S202" s="25" t="s">
        <ns0:v>9</ns0:v>
      </ns0:c>
    </ns0:row>
    <ns0:row r="203" spans="1:19" s="1" customFormat="1" ht="15" customHeight="1" ns3:dyDescent="0.25">
      <ns0:c r="A203" s="22" t="s">
        <ns0:v>10</ns0:v>
      </ns0:c>
      <ns0:c r="B203" s="23" t="s">
        <ns0:v>11</ns0:v>
      </ns0:c>
      <ns0:c r="C203" s="157"/>
      <ns0:c r="D203" s="94"/>
      <ns0:c r="E203" s="95"/>
      <ns0:c r="F203" s="94">
        <ns0:f t="shared" ref="F203" si="361">IF((OR(F202="",F201="")),0,IF((F202&lt;F201),((F202-F201)*24)+24,(F202-F201)*24))</ns0:f>
        <ns0:v>0</ns0:v>
      </ns0:c>
      <ns0:c r="G203" s="95"/>
      <ns0:c r="H203" s="94">
        <ns0:f t="shared" ref="H203" si="362">IF((OR(H202="",H201="")),0,IF((H202&lt;H201),((H202-H201)*24)+24,(H202-H201)*24))</ns0:f>
        <ns0:v>0</ns0:v>
      </ns0:c>
      <ns0:c r="I203" s="95"/>
      <ns0:c r="J203" s="94">
        <ns0:f t="shared" ref="J203" si="363">IF((OR(J202="",J201="")),0,IF((J202&lt;J201),((J202-J201)*24)+24,(J202-J201)*24))</ns0:f>
        <ns0:v>0</ns0:v>
      </ns0:c>
      <ns0:c r="K203" s="95"/>
      <ns0:c r="L203" s="94">
        <ns0:f t="shared" ref="L203" si="364">IF((OR(L202="",L201="")),0,IF((L202&lt;L201),((L202-L201)*24)+24,(L202-L201)*24))</ns0:f>
        <ns0:v>0</ns0:v>
      </ns0:c>
      <ns0:c r="M203" s="95"/>
      <ns0:c r="N203" s="94">
        <ns0:f t="shared" ref="N203" si="365">IF((OR(N202="",N201="")),0,IF((N202&lt;N201),((N202-N201)*24)+24,(N202-N201)*24))</ns0:f>
        <ns0:v>0</ns0:v>
      </ns0:c>
      <ns0:c r="O203" s="95"/>
      <ns0:c r="P203" s="94">
        <ns0:f t="shared" ref="P203" si="366">IF((OR(P202="",P201="")),0,IF((P202&lt;P201),((P202-P201)*24)+24,(P202-P201)*24))</ns0:f>
        <ns0:v>0</ns0:v>
      </ns0:c>
      <ns0:c r="Q203" s="95"/>
      <ns0:c r="R203" s="176"/>
      <ns0:c r="S203" s="24" t="s">
        <ns0:v>12</ns0:v>
      </ns0:c>
    </ns0:row>
    <ns0:row r="204" spans="1:19" s="1" customFormat="1" ht="15" customHeight="1" ns3:dyDescent="0.25">
      <ns0:c r="A204" s="57"/>
      <ns0:c r="B204" s="58"/>
      <ns0:c r="C204" s="155" t="s">
        <ns0:v>15</ns0:v>
      </ns0:c>
      <ns0:c r="D204" s="92"/>
      <ns0:c r="E204" s="93"/>
      <ns0:c r="F204" s="92"/>
      <ns0:c r="G204" s="93"/>
      <ns0:c r="H204" s="92"/>
      <ns0:c r="I204" s="93"/>
      <ns0:c r="J204" s="92"/>
      <ns0:c r="K204" s="93"/>
      <ns0:c r="L204" s="92"/>
      <ns0:c r="M204" s="93"/>
      <ns0:c r="N204" s="92"/>
      <ns0:c r="O204" s="93"/>
      <ns0:c r="P204" s="92"/>
      <ns0:c r="Q204" s="93"/>
      <ns0:c r="R204" s="177">
        <ns0:f>SUM(D206:P206)</ns0:f>
        <ns0:v>0</ns0:v>
      </ns0:c>
      <ns0:c r="S204" s="25" t="s">
        <ns0:v>8</ns0:v>
      </ns0:c>
    </ns0:row>
    <ns0:row r="205" spans="1:19" s="1" customFormat="1" ht="15" customHeight="1" ns3:dyDescent="0.25">
      <ns0:c r="A205" s="143" t="s">
        <ns0:v>16</ns0:v>
      </ns0:c>
      <ns0:c r="B205" s="144"/>
      <ns0:c r="C205" s="156"/>
      <ns0:c r="D205" s="92"/>
      <ns0:c r="E205" s="93"/>
      <ns0:c r="F205" s="92"/>
      <ns0:c r="G205" s="93"/>
      <ns0:c r="H205" s="92"/>
      <ns0:c r="I205" s="93"/>
      <ns0:c r="J205" s="92"/>
      <ns0:c r="K205" s="93"/>
      <ns0:c r="L205" s="92"/>
      <ns0:c r="M205" s="93"/>
      <ns0:c r="N205" s="92"/>
      <ns0:c r="O205" s="93"/>
      <ns0:c r="P205" s="92"/>
      <ns0:c r="Q205" s="93"/>
      <ns0:c r="R205" s="175"/>
      <ns0:c r="S205" s="25" t="s">
        <ns0:v>9</ns0:v>
      </ns0:c>
    </ns0:row>
    <ns0:row r="206" spans="1:19" s="1" customFormat="1" ht="15" customHeight="1" ns3:dyDescent="0.25">
      <ns0:c r="A206" s="141"/>
      <ns0:c r="B206" s="150"/>
      <ns0:c r="C206" s="157"/>
      <ns0:c r="D206" s="94">
        <ns0:f>IF((OR(D205="",D204="")),0,IF((D205&lt;D204),((D205-D204)*24)+24,(D205-D204)*24))</ns0:f>
        <ns0:v>0</ns0:v>
      </ns0:c>
      <ns0:c r="E206" s="95"/>
      <ns0:c r="F206" s="94">
        <ns0:f t="shared" ref="F206" si="367">IF((OR(F205="",F204="")),0,IF((F205&lt;F204),((F205-F204)*24)+24,(F205-F204)*24))</ns0:f>
        <ns0:v>0</ns0:v>
      </ns0:c>
      <ns0:c r="G206" s="95"/>
      <ns0:c r="H206" s="94">
        <ns0:f t="shared" ref="H206" si="368">IF((OR(H205="",H204="")),0,IF((H205&lt;H204),((H205-H204)*24)+24,(H205-H204)*24))</ns0:f>
        <ns0:v>0</ns0:v>
      </ns0:c>
      <ns0:c r="I206" s="95"/>
      <ns0:c r="J206" s="94">
        <ns0:f t="shared" ref="J206" si="369">IF((OR(J205="",J204="")),0,IF((J205&lt;J204),((J205-J204)*24)+24,(J205-J204)*24))</ns0:f>
        <ns0:v>0</ns0:v>
      </ns0:c>
      <ns0:c r="K206" s="95"/>
      <ns0:c r="L206" s="94">
        <ns0:f t="shared" ref="L206" si="370">IF((OR(L205="",L204="")),0,IF((L205&lt;L204),((L205-L204)*24)+24,(L205-L204)*24))</ns0:f>
        <ns0:v>0</ns0:v>
      </ns0:c>
      <ns0:c r="M206" s="95"/>
      <ns0:c r="N206" s="94">
        <ns0:f t="shared" ref="N206" si="371">IF((OR(N205="",N204="")),0,IF((N205&lt;N204),((N205-N204)*24)+24,(N205-N204)*24))</ns0:f>
        <ns0:v>0</ns0:v>
      </ns0:c>
      <ns0:c r="O206" s="95"/>
      <ns0:c r="P206" s="94">
        <ns0:f t="shared" ref="P206" si="372">IF((OR(P205="",P204="")),0,IF((P205&lt;P204),((P205-P204)*24)+24,(P205-P204)*24))</ns0:f>
        <ns0:v>0</ns0:v>
      </ns0:c>
      <ns0:c r="Q206" s="95"/>
      <ns0:c r="R206" s="176"/>
      <ns0:c r="S206" s="24" t="s">
        <ns0:v>12</ns0:v>
      </ns0:c>
    </ns0:row>
    <ns0:row r="207" spans="1:19" s="1" customFormat="1" ht="15" customHeight="1" ns3:dyDescent="0.25">
      <ns0:c r="A207" s="159"/>
      <ns0:c r="B207" s="160"/>
      <ns0:c r="C207" s="155" t="s">
        <ns0:v>17</ns0:v>
      </ns0:c>
      <ns0:c r="D207" s="92"/>
      <ns0:c r="E207" s="93"/>
      <ns0:c r="F207" s="92"/>
      <ns0:c r="G207" s="93"/>
      <ns0:c r="H207" s="92"/>
      <ns0:c r="I207" s="93"/>
      <ns0:c r="J207" s="92"/>
      <ns0:c r="K207" s="93"/>
      <ns0:c r="L207" s="92"/>
      <ns0:c r="M207" s="93"/>
      <ns0:c r="N207" s="92"/>
      <ns0:c r="O207" s="93"/>
      <ns0:c r="P207" s="92"/>
      <ns0:c r="Q207" s="93"/>
      <ns0:c r="R207" s="177">
        <ns0:f>SUM(D209:P209)</ns0:f>
        <ns0:v>0</ns0:v>
      </ns0:c>
      <ns0:c r="S207" s="25" t="s">
        <ns0:v>8</ns0:v>
      </ns0:c>
    </ns0:row>
    <ns0:row r="208" spans="1:19" s="1" customFormat="1" ht="15" customHeight="1" ns3:dyDescent="0.25">
      <ns0:c r="A208" s="141"/>
      <ns0:c r="B208" s="142"/>
      <ns0:c r="C208" s="156"/>
      <ns0:c r="D208" s="92"/>
      <ns0:c r="E208" s="93"/>
      <ns0:c r="F208" s="92"/>
      <ns0:c r="G208" s="93"/>
      <ns0:c r="H208" s="92"/>
      <ns0:c r="I208" s="93"/>
      <ns0:c r="J208" s="92"/>
      <ns0:c r="K208" s="93"/>
      <ns0:c r="L208" s="92"/>
      <ns0:c r="M208" s="93"/>
      <ns0:c r="N208" s="92"/>
      <ns0:c r="O208" s="93"/>
      <ns0:c r="P208" s="92"/>
      <ns0:c r="Q208" s="93"/>
      <ns0:c r="R208" s="175"/>
      <ns0:c r="S208" s="25" t="s">
        <ns0:v>9</ns0:v>
      </ns0:c>
    </ns0:row>
    <ns0:row r="209" spans="1:20" s="1" customFormat="1" ht="15" customHeight="1" thickBot="1" ns3:dyDescent="0.3">
      <ns0:c r="A209" s="141"/>
      <ns0:c r="B209" s="142"/>
      <ns0:c r="C209" s="156"/>
      <ns0:c r="D209" s="199">
        <ns0:f>IF((OR(D208="",D207="")),0,IF((D208&lt;D207),((D208-D207)*24)+24,(D208-D207)*24))</ns0:f>
        <ns0:v>0</ns0:v>
      </ns0:c>
      <ns0:c r="E209" s="200"/>
      <ns0:c r="F209" s="199">
        <ns0:f t="shared" ref="F209" si="373">IF((OR(F208="",F207="")),0,IF((F208&lt;F207),((F208-F207)*24)+24,(F208-F207)*24))</ns0:f>
        <ns0:v>0</ns0:v>
      </ns0:c>
      <ns0:c r="G209" s="200"/>
      <ns0:c r="H209" s="199">
        <ns0:f t="shared" ref="H209" si="374">IF((OR(H208="",H207="")),0,IF((H208&lt;H207),((H208-H207)*24)+24,(H208-H207)*24))</ns0:f>
        <ns0:v>0</ns0:v>
      </ns0:c>
      <ns0:c r="I209" s="200"/>
      <ns0:c r="J209" s="199">
        <ns0:f t="shared" ref="J209" si="375">IF((OR(J208="",J207="")),0,IF((J208&lt;J207),((J208-J207)*24)+24,(J208-J207)*24))</ns0:f>
        <ns0:v>0</ns0:v>
      </ns0:c>
      <ns0:c r="K209" s="200"/>
      <ns0:c r="L209" s="199">
        <ns0:f t="shared" ref="L209" si="376">IF((OR(L208="",L207="")),0,IF((L208&lt;L207),((L208-L207)*24)+24,(L208-L207)*24))</ns0:f>
        <ns0:v>0</ns0:v>
      </ns0:c>
      <ns0:c r="M209" s="200"/>
      <ns0:c r="N209" s="199">
        <ns0:f t="shared" ref="N209" si="377">IF((OR(N208="",N207="")),0,IF((N208&lt;N207),((N208-N207)*24)+24,(N208-N207)*24))</ns0:f>
        <ns0:v>0</ns0:v>
      </ns0:c>
      <ns0:c r="O209" s="200"/>
      <ns0:c r="P209" s="199">
        <ns0:f t="shared" ref="P209" si="378">IF((OR(P208="",P207="")),0,IF((P208&lt;P207),((P208-P207)*24)+24,(P208-P207)*24))</ns0:f>
        <ns0:v>0</ns0:v>
      </ns0:c>
      <ns0:c r="Q209" s="200"/>
      <ns0:c r="R209" s="175"/>
      <ns0:c r="S209" s="27" t="s">
        <ns0:v>12</ns0:v>
      </ns0:c>
    </ns0:row>
    <ns0:row r="210" spans="1:20" s="1" customFormat="1" ht="15" customHeight="1" thickBot="1" ns3:dyDescent="0.3">
      <ns0:c r="A210" s="145" t="s">
        <ns0:v>18</ns0:v>
      </ns0:c>
      <ns0:c r="B210" s="146"/>
      <ns0:c r="C210" s="147"/>
      <ns0:c r="D210" s="96">
        <ns0:f>D209+D206+D203</ns0:f>
        <ns0:v>0</ns0:v>
      </ns0:c>
      <ns0:c r="E210" s="97"/>
      <ns0:c r="F210" s="96">
        <ns0:f>F209+F206+F203</ns0:f>
        <ns0:v>0</ns0:v>
      </ns0:c>
      <ns0:c r="G210" s="97"/>
      <ns0:c r="H210" s="96">
        <ns0:f t="shared" ref="H210" si="379">H209+H206+H203</ns0:f>
        <ns0:v>0</ns0:v>
      </ns0:c>
      <ns0:c r="I210" s="97"/>
      <ns0:c r="J210" s="96">
        <ns0:f t="shared" ref="J210" si="380">J209+J206+J203</ns0:f>
        <ns0:v>0</ns0:v>
      </ns0:c>
      <ns0:c r="K210" s="97"/>
      <ns0:c r="L210" s="96">
        <ns0:f t="shared" ref="L210" si="381">L209+L206+L203</ns0:f>
        <ns0:v>0</ns0:v>
      </ns0:c>
      <ns0:c r="M210" s="97"/>
      <ns0:c r="N210" s="96">
        <ns0:f t="shared" ref="N210" si="382">N209+N206+N203</ns0:f>
        <ns0:v>0</ns0:v>
      </ns0:c>
      <ns0:c r="O210" s="97"/>
      <ns0:c r="P210" s="96">
        <ns0:f t="shared" ref="P210" si="383">P209+P206+P203</ns0:f>
        <ns0:v>0</ns0:v>
      </ns0:c>
      <ns0:c r="Q210" s="97"/>
      <ns0:c r="R210" s="28">
        <ns0:f>R207+R204+R201</ns0:f>
        <ns0:v>0</ns0:v>
      </ns0:c>
      <ns0:c r="S210" s="32" t="s">
        <ns0:v>12</ns0:v>
      </ns0:c>
    </ns0:row>
    <ns0:row r="211" spans="1:20" s="1" customFormat="1" ht="15" customHeight="1" ns3:dyDescent="0.25">
      <ns0:c r="A211" s="8"/>
      <ns0:c r="B211" s="2"/>
      <ns0:c r="C211" s="3"/>
      <ns0:c r="D211" s="3"/>
      <ns0:c r="E211" s="3"/>
      <ns0:c r="F211" s="3"/>
      <ns0:c r="G211" s="3"/>
      <ns0:c r="H211" s="3"/>
      <ns0:c r="I211" s="9"/>
      <ns0:c r="J211" s="4"/>
      <ns0:c r="K211" s="4" t="s">
        <ns0:v>0</ns0:v>
      </ns0:c>
      <ns0:c r="L211" s="84" t="str">
        <ns0:f>L1</ns0:f>
        <ns0:v>John Boerder</ns0:v>
      </ns0:c>
      <ns0:c r="M211" s="84"/>
      <ns0:c r="N211" s="84"/>
      <ns0:c r="O211" s="84"/>
      <ns0:c r="P211" s="84"/>
      <ns0:c r="Q211" s="3"/>
      <ns0:c r="R211" s="3"/>
      <ns0:c r="S211" s="3"/>
      <ns0:c r="T211" s="15"/>
    </ns0:row>
    <ns0:row r="212" spans="1:20" s="1" customFormat="1" ht="15" customHeight="1" ns3:dyDescent="0.3">
      <ns0:c r="A212" s="10" t="str">
        <ns0:f>A2</ns0:f>
        <ns0:v>CLIENT: PCA - Filer City, MI</ns0:v>
      </ns0:c>
      <ns0:c r="B212" s="11"/>
      <ns0:c r="C212" s="6"/>
      <ns0:c r="D212" s="6"/>
      <ns0:c r="E212" s="6"/>
      <ns0:c r="F212" s="6"/>
      <ns0:c r="G212" s="6"/>
      <ns0:c r="H212" s="6"/>
      <ns0:c r="I212" s="6"/>
      <ns0:c r="J212" s="5"/>
      <ns0:c r="K212" s="5" t="s">
        <ns0:v>1</ns0:v>
      </ns0:c>
      <ns0:c r="L212" s="85" t="str">
        <ns0:f>L2</ns0:f>
        <ns0:v>(231) 723-9951   Ext. 1331</ns0:v>
      </ns0:c>
      <ns0:c r="M212" s="85"/>
      <ns0:c r="N212" s="85"/>
      <ns0:c r="O212" s="85"/>
      <ns0:c r="P212" s="85"/>
      <ns0:c r="Q212" s="6" t="s">
        <ns0:v>2</ns0:v>
      </ns0:c>
      <ns0:c r="R212" s="16"/>
      <ns0:c r="S212" s="86">
        <ns0:f>S72</ns0:f>
        <ns0:v>46116</ns0:v>
      </ns0:c>
      <ns0:c r="T212" s="87"/>
    </ns0:row>
    <ns0:row r="213" spans="1:20" s="1" customFormat="1" ht="13.5" customHeight="1" thickBot="1" ns3:dyDescent="0.35">
      <ns0:c r="A213" s="12"/>
      <ns0:c r="B213" s="88"/>
      <ns0:c r="C213" s="88"/>
      <ns0:c r="D213" s="88"/>
      <ns0:c r="E213" s="88"/>
      <ns0:c r="F213" s="88"/>
      <ns0:c r="G213" s="88"/>
      <ns0:c r="H213" s="13"/>
      <ns0:c r="I213" s="14"/>
      <ns0:c r="J213" s="14"/>
      <ns0:c r="K213" s="14" t="s">
        <ns0:v>3</ns0:v>
      </ns0:c>
      <ns0:c r="L213" s="89" t="str">
        <ns0:f>L3</ns0:f>
        <ns0:v>(231) 388-5092</ns0:v>
      </ns0:c>
      <ns0:c r="M213" s="89"/>
      <ns0:c r="N213" s="89"/>
      <ns0:c r="O213" s="89"/>
      <ns0:c r="P213" s="89"/>
      <ns0:c r="Q213" s="90"/>
      <ns0:c r="R213" s="90"/>
      <ns0:c r="S213" s="90"/>
      <ns0:c r="T213" s="91"/>
    </ns0:row>
    <ns0:row r="214" spans="1:20" s="1" customFormat="1" ht="13.2" customHeight="1" thickBot="1" ns3:dyDescent="0.3">
      <ns0:c r="A214" s="206"/>
      <ns0:c r="B214" s="207"/>
      <ns0:c r="C214" s="208"/>
      <ns0:c r="D214" s="136" t="s">
        <ns0:v>4</ns0:v>
      </ns0:c>
      <ns0:c r="E214" s="137"/>
      <ns0:c r="F214" s="137"/>
      <ns0:c r="G214" s="137"/>
      <ns0:c r="H214" s="137"/>
      <ns0:c r="I214" s="137"/>
      <ns0:c r="J214" s="137"/>
      <ns0:c r="K214" s="137"/>
      <ns0:c r="L214" s="137"/>
      <ns0:c r="M214" s="137"/>
      <ns0:c r="N214" s="137"/>
      <ns0:c r="O214" s="137"/>
      <ns0:c r="P214" s="137"/>
      <ns0:c r="Q214" s="138"/>
      <ns0:c r="R214" s="17"/>
      <ns0:c r="S214" s="18"/>
      <ns0:c r="T214" s="18"/>
    </ns0:row>
    <ns0:row r="215" spans="1:20" s="1" customFormat="1" ht="13.2" customHeight="1" thickBot="1" ns3:dyDescent="0.3">
      <ns0:c r="A215" s="209"/>
      <ns0:c r="B215" s="210"/>
      <ns0:c r="C215" s="211"/>
      <ns0:c r="D215" s="102">
        <ns0:f>D75</ns0:f>
        <ns0:v>46110</ns0:v>
      </ns0:c>
      <ns0:c r="E215" s="104"/>
      <ns0:c r="F215" s="102">
        <ns0:f t="shared" ref="F215" si="384">F75</ns0:f>
        <ns0:v>46111</ns0:v>
      </ns0:c>
      <ns0:c r="G215" s="104"/>
      <ns0:c r="H215" s="102">
        <ns0:f t="shared" ref="H215" si="385">H75</ns0:f>
        <ns0:v>46112</ns0:v>
      </ns0:c>
      <ns0:c r="I215" s="104"/>
      <ns0:c r="J215" s="102">
        <ns0:f t="shared" ref="J215" si="386">J75</ns0:f>
        <ns0:v>46113</ns0:v>
      </ns0:c>
      <ns0:c r="K215" s="104"/>
      <ns0:c r="L215" s="102">
        <ns0:f t="shared" ref="L215" si="387">L75</ns0:f>
        <ns0:v>46114</ns0:v>
      </ns0:c>
      <ns0:c r="M215" s="104"/>
      <ns0:c r="N215" s="102">
        <ns0:f t="shared" ref="N215" si="388">N75</ns0:f>
        <ns0:v>46115</ns0:v>
      </ns0:c>
      <ns0:c r="O215" s="104"/>
      <ns0:c r="P215" s="102">
        <ns0:f t="shared" ref="P215" si="389">P75</ns0:f>
        <ns0:v>46116</ns0:v>
      </ns0:c>
      <ns0:c r="Q215" s="104"/>
      <ns0:c r="R215" s="19" t="s">
        <ns0:v>5</ns0:v>
      </ns0:c>
      <ns0:c r="S215" s="7"/>
      <ns0:c r="T215" s="7"/>
    </ns0:row>
    <ns0:row r="216" spans="1:20" s="1" customFormat="1" ht="15" customHeight="1" ns3:dyDescent="0.25">
      <ns0:c r="A216" s="161" t="s">
        <ns0:v>6</ns0:v>
      </ns0:c>
      <ns0:c r="B216" s="162"/>
      <ns0:c r="C216" s="158" t="s">
        <ns0:v>7</ns0:v>
      </ns0:c>
      <ns0:c r="D216" s="100"/>
      <ns0:c r="E216" s="101"/>
      <ns0:c r="F216" s="100"/>
      <ns0:c r="G216" s="101"/>
      <ns0:c r="H216" s="100"/>
      <ns0:c r="I216" s="101"/>
      <ns0:c r="J216" s="100"/>
      <ns0:c r="K216" s="101"/>
      <ns0:c r="L216" s="100"/>
      <ns0:c r="M216" s="101"/>
      <ns0:c r="N216" s="100"/>
      <ns0:c r="O216" s="101"/>
      <ns0:c r="P216" s="100"/>
      <ns0:c r="Q216" s="101"/>
      <ns0:c r="R216" s="174">
        <ns0:f>SUM(D218:P218)</ns0:f>
        <ns0:v>0</ns0:v>
      </ns0:c>
      <ns0:c r="S216" s="20" t="s">
        <ns0:v>8</ns0:v>
      </ns0:c>
    </ns0:row>
    <ns0:row r="217" spans="1:20" s="1" customFormat="1" ht="15" customHeight="1" ns3:dyDescent="0.2">
      <ns0:c r="A217" s="106"/>
      <ns0:c r="B217" s="107"/>
      <ns0:c r="C217" s="156"/>
      <ns0:c r="D217" s="92"/>
      <ns0:c r="E217" s="93"/>
      <ns0:c r="F217" s="92"/>
      <ns0:c r="G217" s="93"/>
      <ns0:c r="H217" s="92"/>
      <ns0:c r="I217" s="93"/>
      <ns0:c r="J217" s="92"/>
      <ns0:c r="K217" s="93"/>
      <ns0:c r="L217" s="92"/>
      <ns0:c r="M217" s="93"/>
      <ns0:c r="N217" s="92"/>
      <ns0:c r="O217" s="93"/>
      <ns0:c r="P217" s="92"/>
      <ns0:c r="Q217" s="93"/>
      <ns0:c r="R217" s="175"/>
      <ns0:c r="S217" s="25" t="s">
        <ns0:v>9</ns0:v>
      </ns0:c>
    </ns0:row>
    <ns0:row r="218" spans="1:20" s="1" customFormat="1" ht="15" customHeight="1" ns3:dyDescent="0.25">
      <ns0:c r="A218" s="22" t="s">
        <ns0:v>10</ns0:v>
      </ns0:c>
      <ns0:c r="B218" s="23" t="s">
        <ns0:v>11</ns0:v>
      </ns0:c>
      <ns0:c r="C218" s="157"/>
      <ns0:c r="D218" s="94">
        <ns0:f>IF((OR(D217="",D216="")),0,IF((D217&lt;D216),((D217-D216)*24)+24,(D217-D216)*24))</ns0:f>
        <ns0:v>0</ns0:v>
      </ns0:c>
      <ns0:c r="E218" s="95"/>
      <ns0:c r="F218" s="94">
        <ns0:f t="shared" ref="F218" si="390">IF((OR(F217="",F216="")),0,IF((F217&lt;F216),((F217-F216)*24)+24,(F217-F216)*24))</ns0:f>
        <ns0:v>0</ns0:v>
      </ns0:c>
      <ns0:c r="G218" s="95"/>
      <ns0:c r="H218" s="94">
        <ns0:f t="shared" ref="H218" si="391">IF((OR(H217="",H216="")),0,IF((H217&lt;H216),((H217-H216)*24)+24,(H217-H216)*24))</ns0:f>
        <ns0:v>0</ns0:v>
      </ns0:c>
      <ns0:c r="I218" s="95"/>
      <ns0:c r="J218" s="94">
        <ns0:f t="shared" ref="J218" si="392">IF((OR(J217="",J216="")),0,IF((J217&lt;J216),((J217-J216)*24)+24,(J217-J216)*24))</ns0:f>
        <ns0:v>0</ns0:v>
      </ns0:c>
      <ns0:c r="K218" s="95"/>
      <ns0:c r="L218" s="94">
        <ns0:f t="shared" ref="L218" si="393">IF((OR(L217="",L216="")),0,IF((L217&lt;L216),((L217-L216)*24)+24,(L217-L216)*24))</ns0:f>
        <ns0:v>0</ns0:v>
      </ns0:c>
      <ns0:c r="M218" s="95"/>
      <ns0:c r="N218" s="94">
        <ns0:f t="shared" ref="N218" si="394">IF((OR(N217="",N216="")),0,IF((N217&lt;N216),((N217-N216)*24)+24,(N217-N216)*24))</ns0:f>
        <ns0:v>0</ns0:v>
      </ns0:c>
      <ns0:c r="O218" s="95"/>
      <ns0:c r="P218" s="94">
        <ns0:f t="shared" ref="P218" si="395">IF((OR(P217="",P216="")),0,IF((P217&lt;P216),((P217-P216)*24)+24,(P217-P216)*24))</ns0:f>
        <ns0:v>0</ns0:v>
      </ns0:c>
      <ns0:c r="Q218" s="95"/>
      <ns0:c r="R218" s="176"/>
      <ns0:c r="S218" s="24" t="s">
        <ns0:v>12</ns0:v>
      </ns0:c>
    </ns0:row>
    <ns0:row r="219" spans="1:20" s="1" customFormat="1" ht="15" customHeight="1" ns3:dyDescent="0.25">
      <ns0:c r="A219" s="57" t="s">
        <ns0:v>19</ns0:v>
      </ns0:c>
      <ns0:c r="B219" s="58"/>
      <ns0:c r="C219" s="155" t="s">
        <ns0:v>15</ns0:v>
      </ns0:c>
      <ns0:c r="D219" s="92"/>
      <ns0:c r="E219" s="93"/>
      <ns0:c r="F219" s="92"/>
      <ns0:c r="G219" s="93"/>
      <ns0:c r="H219" s="92"/>
      <ns0:c r="I219" s="93"/>
      <ns0:c r="J219" s="92"/>
      <ns0:c r="K219" s="93"/>
      <ns0:c r="L219" s="92"/>
      <ns0:c r="M219" s="93"/>
      <ns0:c r="N219" s="92"/>
      <ns0:c r="O219" s="93"/>
      <ns0:c r="P219" s="92"/>
      <ns0:c r="Q219" s="93"/>
      <ns0:c r="R219" s="177">
        <ns0:f>SUM(D221:P221)</ns0:f>
        <ns0:v>0</ns0:v>
      </ns0:c>
      <ns0:c r="S219" s="25" t="s">
        <ns0:v>8</ns0:v>
      </ns0:c>
    </ns0:row>
    <ns0:row r="220" spans="1:20" s="1" customFormat="1" ht="15" customHeight="1" ns3:dyDescent="0.25">
      <ns0:c r="A220" s="143" t="s">
        <ns0:v>16</ns0:v>
      </ns0:c>
      <ns0:c r="B220" s="144"/>
      <ns0:c r="C220" s="156"/>
      <ns0:c r="D220" s="92"/>
      <ns0:c r="E220" s="93"/>
      <ns0:c r="F220" s="92"/>
      <ns0:c r="G220" s="93"/>
      <ns0:c r="H220" s="92"/>
      <ns0:c r="I220" s="93"/>
      <ns0:c r="J220" s="92"/>
      <ns0:c r="K220" s="93"/>
      <ns0:c r="L220" s="92"/>
      <ns0:c r="M220" s="93"/>
      <ns0:c r="N220" s="92"/>
      <ns0:c r="O220" s="93"/>
      <ns0:c r="P220" s="92"/>
      <ns0:c r="Q220" s="93"/>
      <ns0:c r="R220" s="175"/>
      <ns0:c r="S220" s="25" t="s">
        <ns0:v>9</ns0:v>
      </ns0:c>
    </ns0:row>
    <ns0:row r="221" spans="1:20" s="1" customFormat="1" ht="15" customHeight="1" ns3:dyDescent="0.25">
      <ns0:c r="A221" s="141"/>
      <ns0:c r="B221" s="150"/>
      <ns0:c r="C221" s="157"/>
      <ns0:c r="D221" s="94">
        <ns0:f>IF((OR(D220="",D219="")),0,IF((D220&lt;D219),((D220-D219)*24)+24,(D220-D219)*24))</ns0:f>
        <ns0:v>0</ns0:v>
      </ns0:c>
      <ns0:c r="E221" s="95"/>
      <ns0:c r="F221" s="94">
        <ns0:f t="shared" ref="F221" si="396">IF((OR(F220="",F219="")),0,IF((F220&lt;F219),((F220-F219)*24)+24,(F220-F219)*24))</ns0:f>
        <ns0:v>0</ns0:v>
      </ns0:c>
      <ns0:c r="G221" s="95"/>
      <ns0:c r="H221" s="94">
        <ns0:f t="shared" ref="H221" si="397">IF((OR(H220="",H219="")),0,IF((H220&lt;H219),((H220-H219)*24)+24,(H220-H219)*24))</ns0:f>
        <ns0:v>0</ns0:v>
      </ns0:c>
      <ns0:c r="I221" s="95"/>
      <ns0:c r="J221" s="94">
        <ns0:f t="shared" ref="J221" si="398">IF((OR(J220="",J219="")),0,IF((J220&lt;J219),((J220-J219)*24)+24,(J220-J219)*24))</ns0:f>
        <ns0:v>0</ns0:v>
      </ns0:c>
      <ns0:c r="K221" s="95"/>
      <ns0:c r="L221" s="94">
        <ns0:f t="shared" ref="L221" si="399">IF((OR(L220="",L219="")),0,IF((L220&lt;L219),((L220-L219)*24)+24,(L220-L219)*24))</ns0:f>
        <ns0:v>0</ns0:v>
      </ns0:c>
      <ns0:c r="M221" s="95"/>
      <ns0:c r="N221" s="94">
        <ns0:f t="shared" ref="N221" si="400">IF((OR(N220="",N219="")),0,IF((N220&lt;N219),((N220-N219)*24)+24,(N220-N219)*24))</ns0:f>
        <ns0:v>0</ns0:v>
      </ns0:c>
      <ns0:c r="O221" s="95"/>
      <ns0:c r="P221" s="94">
        <ns0:f t="shared" ref="P221" si="401">IF((OR(P220="",P219="")),0,IF((P220&lt;P219),((P220-P219)*24)+24,(P220-P219)*24))</ns0:f>
        <ns0:v>0</ns0:v>
      </ns0:c>
      <ns0:c r="Q221" s="95"/>
      <ns0:c r="R221" s="176"/>
      <ns0:c r="S221" s="24" t="s">
        <ns0:v>12</ns0:v>
      </ns0:c>
    </ns0:row>
    <ns0:row r="222" spans="1:20" s="1" customFormat="1" ht="15" customHeight="1" ns3:dyDescent="0.25">
      <ns0:c r="A222" s="159"/>
      <ns0:c r="B222" s="160"/>
      <ns0:c r="C222" s="155" t="s">
        <ns0:v>17</ns0:v>
      </ns0:c>
      <ns0:c r="D222" s="92"/>
      <ns0:c r="E222" s="93"/>
      <ns0:c r="F222" s="92"/>
      <ns0:c r="G222" s="93"/>
      <ns0:c r="H222" s="92"/>
      <ns0:c r="I222" s="93"/>
      <ns0:c r="J222" s="92"/>
      <ns0:c r="K222" s="93"/>
      <ns0:c r="L222" s="92"/>
      <ns0:c r="M222" s="93"/>
      <ns0:c r="N222" s="92"/>
      <ns0:c r="O222" s="93"/>
      <ns0:c r="P222" s="92"/>
      <ns0:c r="Q222" s="93"/>
      <ns0:c r="R222" s="177">
        <ns0:f>SUM(D224:P224)</ns0:f>
        <ns0:v>0</ns0:v>
      </ns0:c>
      <ns0:c r="S222" s="25" t="s">
        <ns0:v>8</ns0:v>
      </ns0:c>
    </ns0:row>
    <ns0:row r="223" spans="1:20" s="1" customFormat="1" ht="15" customHeight="1" ns3:dyDescent="0.25">
      <ns0:c r="A223" s="141"/>
      <ns0:c r="B223" s="142"/>
      <ns0:c r="C223" s="156"/>
      <ns0:c r="D223" s="92"/>
      <ns0:c r="E223" s="93"/>
      <ns0:c r="F223" s="92"/>
      <ns0:c r="G223" s="93"/>
      <ns0:c r="H223" s="92"/>
      <ns0:c r="I223" s="93"/>
      <ns0:c r="J223" s="92"/>
      <ns0:c r="K223" s="93"/>
      <ns0:c r="L223" s="92"/>
      <ns0:c r="M223" s="93"/>
      <ns0:c r="N223" s="92"/>
      <ns0:c r="O223" s="93"/>
      <ns0:c r="P223" s="92"/>
      <ns0:c r="Q223" s="93"/>
      <ns0:c r="R223" s="175"/>
      <ns0:c r="S223" s="25" t="s">
        <ns0:v>9</ns0:v>
      </ns0:c>
    </ns0:row>
    <ns0:row r="224" spans="1:20" s="1" customFormat="1" ht="15" customHeight="1" thickBot="1" ns3:dyDescent="0.3">
      <ns0:c r="A224" s="148"/>
      <ns0:c r="B224" s="149"/>
      <ns0:c r="C224" s="157"/>
      <ns0:c r="D224" s="94">
        <ns0:f>IF((OR(D223="",D222="")),0,IF((D223&lt;D222),((D223-D222)*24)+24,(D223-D222)*24))</ns0:f>
        <ns0:v>0</ns0:v>
      </ns0:c>
      <ns0:c r="E224" s="95"/>
      <ns0:c r="F224" s="94">
        <ns0:f t="shared" ref="F224" si="402">IF((OR(F223="",F222="")),0,IF((F223&lt;F222),((F223-F222)*24)+24,(F223-F222)*24))</ns0:f>
        <ns0:v>0</ns0:v>
      </ns0:c>
      <ns0:c r="G224" s="95"/>
      <ns0:c r="H224" s="94">
        <ns0:f t="shared" ref="H224" si="403">IF((OR(H223="",H222="")),0,IF((H223&lt;H222),((H223-H222)*24)+24,(H223-H222)*24))</ns0:f>
        <ns0:v>0</ns0:v>
      </ns0:c>
      <ns0:c r="I224" s="95"/>
      <ns0:c r="J224" s="94">
        <ns0:f t="shared" ref="J224" si="404">IF((OR(J223="",J222="")),0,IF((J223&lt;J222),((J223-J222)*24)+24,(J223-J222)*24))</ns0:f>
        <ns0:v>0</ns0:v>
      </ns0:c>
      <ns0:c r="K224" s="95"/>
      <ns0:c r="L224" s="94">
        <ns0:f t="shared" ref="L224" si="405">IF((OR(L223="",L222="")),0,IF((L223&lt;L222),((L223-L222)*24)+24,(L223-L222)*24))</ns0:f>
        <ns0:v>0</ns0:v>
      </ns0:c>
      <ns0:c r="M224" s="95"/>
      <ns0:c r="N224" s="94">
        <ns0:f t="shared" ref="N224" si="406">IF((OR(N223="",N222="")),0,IF((N223&lt;N222),((N223-N222)*24)+24,(N223-N222)*24))</ns0:f>
        <ns0:v>0</ns0:v>
      </ns0:c>
      <ns0:c r="O224" s="95"/>
      <ns0:c r="P224" s="94">
        <ns0:f t="shared" ref="P224" si="407">IF((OR(P223="",P222="")),0,IF((P223&lt;P222),((P223-P222)*24)+24,(P223-P222)*24))</ns0:f>
        <ns0:v>0</ns0:v>
      </ns0:c>
      <ns0:c r="Q224" s="95"/>
      <ns0:c r="R224" s="176"/>
      <ns0:c r="S224" s="27" t="s">
        <ns0:v>12</ns0:v>
      </ns0:c>
    </ns0:row>
    <ns0:row r="225" spans="1:20" s="1" customFormat="1" ht="15" customHeight="1" thickBot="1" ns3:dyDescent="0.3">
      <ns0:c r="A225" s="165" t="s">
        <ns0:v>18</ns0:v>
      </ns0:c>
      <ns0:c r="B225" s="166"/>
      <ns0:c r="C225" s="167"/>
      <ns0:c r="D225" s="134">
        <ns0:f>D224+D221+D218</ns0:f>
        <ns0:v>0</ns0:v>
      </ns0:c>
      <ns0:c r="E225" s="135"/>
      <ns0:c r="F225" s="134">
        <ns0:f>F224+F221+F218</ns0:f>
        <ns0:v>0</ns0:v>
      </ns0:c>
      <ns0:c r="G225" s="135"/>
      <ns0:c r="H225" s="134">
        <ns0:f t="shared" ref="H225" si="408">H224+H221+H218</ns0:f>
        <ns0:v>0</ns0:v>
      </ns0:c>
      <ns0:c r="I225" s="135"/>
      <ns0:c r="J225" s="134">
        <ns0:f t="shared" ref="J225" si="409">J224+J221+J218</ns0:f>
        <ns0:v>0</ns0:v>
      </ns0:c>
      <ns0:c r="K225" s="135"/>
      <ns0:c r="L225" s="134">
        <ns0:f t="shared" ref="L225" si="410">L224+L221+L218</ns0:f>
        <ns0:v>0</ns0:v>
      </ns0:c>
      <ns0:c r="M225" s="135"/>
      <ns0:c r="N225" s="134">
        <ns0:f t="shared" ref="N225" si="411">N224+N221+N218</ns0:f>
        <ns0:v>0</ns0:v>
      </ns0:c>
      <ns0:c r="O225" s="135"/>
      <ns0:c r="P225" s="134">
        <ns0:f t="shared" ref="P225" si="412">P224+P221+P218</ns0:f>
        <ns0:v>0</ns0:v>
      </ns0:c>
      <ns0:c r="Q225" s="135"/>
      <ns0:c r="R225" s="62">
        <ns0:f>R222+R219+R216</ns0:f>
        <ns0:v>0</ns0:v>
      </ns0:c>
      <ns0:c r="S225" s="32" t="s">
        <ns0:v>12</ns0:v>
      </ns0:c>
    </ns0:row>
    <ns0:row r="226" spans="1:20" s="1" customFormat="1" ht="15" customHeight="1" ns3:dyDescent="0.25">
      <ns0:c r="A226" s="161" t="s">
        <ns0:v>6</ns0:v>
      </ns0:c>
      <ns0:c r="B226" s="162"/>
      <ns0:c r="C226" s="158" t="s">
        <ns0:v>7</ns0:v>
      </ns0:c>
      <ns0:c r="D226" s="98"/>
      <ns0:c r="E226" s="99"/>
      <ns0:c r="F226" s="98"/>
      <ns0:c r="G226" s="99"/>
      <ns0:c r="H226" s="98"/>
      <ns0:c r="I226" s="99"/>
      <ns0:c r="J226" s="98"/>
      <ns0:c r="K226" s="99"/>
      <ns0:c r="L226" s="98"/>
      <ns0:c r="M226" s="99"/>
      <ns0:c r="N226" s="98"/>
      <ns0:c r="O226" s="99"/>
      <ns0:c r="P226" s="98"/>
      <ns0:c r="Q226" s="99"/>
      <ns0:c r="R226" s="174">
        <ns0:f>SUM(D228:P228)</ns0:f>
        <ns0:v>0</ns0:v>
      </ns0:c>
      <ns0:c r="S226" s="20" t="s">
        <ns0:v>8</ns0:v>
      </ns0:c>
    </ns0:row>
    <ns0:row r="227" spans="1:20" s="1" customFormat="1" ht="15" customHeight="1" ns3:dyDescent="0.2">
      <ns0:c r="A227" s="106"/>
      <ns0:c r="B227" s="107"/>
      <ns0:c r="C227" s="156"/>
      <ns0:c r="D227" s="92"/>
      <ns0:c r="E227" s="93"/>
      <ns0:c r="F227" s="92"/>
      <ns0:c r="G227" s="93"/>
      <ns0:c r="H227" s="92"/>
      <ns0:c r="I227" s="93"/>
      <ns0:c r="J227" s="92"/>
      <ns0:c r="K227" s="93"/>
      <ns0:c r="L227" s="92"/>
      <ns0:c r="M227" s="93"/>
      <ns0:c r="N227" s="92"/>
      <ns0:c r="O227" s="93"/>
      <ns0:c r="P227" s="92"/>
      <ns0:c r="Q227" s="93"/>
      <ns0:c r="R227" s="175"/>
      <ns0:c r="S227" s="25" t="s">
        <ns0:v>9</ns0:v>
      </ns0:c>
    </ns0:row>
    <ns0:row r="228" spans="1:20" s="1" customFormat="1" ht="15" customHeight="1" ns3:dyDescent="0.25">
      <ns0:c r="A228" s="22" t="s">
        <ns0:v>10</ns0:v>
      </ns0:c>
      <ns0:c r="B228" s="23" t="s">
        <ns0:v>11</ns0:v>
      </ns0:c>
      <ns0:c r="C228" s="157"/>
      <ns0:c r="D228" s="94">
        <ns0:f>IF((OR(D227="",D226="")),0,IF((D227&lt;D226),((D227-D226)*24)+24,(D227-D226)*24))</ns0:f>
        <ns0:v>0</ns0:v>
      </ns0:c>
      <ns0:c r="E228" s="95"/>
      <ns0:c r="F228" s="94">
        <ns0:f t="shared" ref="F228" si="413">IF((OR(F227="",F226="")),0,IF((F227&lt;F226),((F227-F226)*24)+24,(F227-F226)*24))</ns0:f>
        <ns0:v>0</ns0:v>
      </ns0:c>
      <ns0:c r="G228" s="95"/>
      <ns0:c r="H228" s="94">
        <ns0:f t="shared" ref="H228" si="414">IF((OR(H227="",H226="")),0,IF((H227&lt;H226),((H227-H226)*24)+24,(H227-H226)*24))</ns0:f>
        <ns0:v>0</ns0:v>
      </ns0:c>
      <ns0:c r="I228" s="95"/>
      <ns0:c r="J228" s="94">
        <ns0:f t="shared" ref="J228" si="415">IF((OR(J227="",J226="")),0,IF((J227&lt;J226),((J227-J226)*24)+24,(J227-J226)*24))</ns0:f>
        <ns0:v>0</ns0:v>
      </ns0:c>
      <ns0:c r="K228" s="95"/>
      <ns0:c r="L228" s="94">
        <ns0:f t="shared" ref="L228" si="416">IF((OR(L227="",L226="")),0,IF((L227&lt;L226),((L227-L226)*24)+24,(L227-L226)*24))</ns0:f>
        <ns0:v>0</ns0:v>
      </ns0:c>
      <ns0:c r="M228" s="95"/>
      <ns0:c r="N228" s="94">
        <ns0:f t="shared" ref="N228" si="417">IF((OR(N227="",N226="")),0,IF((N227&lt;N226),((N227-N226)*24)+24,(N227-N226)*24))</ns0:f>
        <ns0:v>0</ns0:v>
      </ns0:c>
      <ns0:c r="O228" s="95"/>
      <ns0:c r="P228" s="94">
        <ns0:f t="shared" ref="P228" si="418">IF((OR(P227="",P226="")),0,IF((P227&lt;P226),((P227-P226)*24)+24,(P227-P226)*24))</ns0:f>
        <ns0:v>0</ns0:v>
      </ns0:c>
      <ns0:c r="Q228" s="95"/>
      <ns0:c r="R228" s="176"/>
      <ns0:c r="S228" s="24" t="s">
        <ns0:v>12</ns0:v>
      </ns0:c>
    </ns0:row>
    <ns0:row r="229" spans="1:20" s="1" customFormat="1" ht="15" customHeight="1" ns3:dyDescent="0.25">
      <ns0:c r="A229" s="57" t="s">
        <ns0:v>19</ns0:v>
      </ns0:c>
      <ns0:c r="B229" s="58"/>
      <ns0:c r="C229" s="155" t="s">
        <ns0:v>15</ns0:v>
      </ns0:c>
      <ns0:c r="D229" s="92"/>
      <ns0:c r="E229" s="93"/>
      <ns0:c r="F229" s="92"/>
      <ns0:c r="G229" s="93"/>
      <ns0:c r="H229" s="92"/>
      <ns0:c r="I229" s="93"/>
      <ns0:c r="J229" s="92"/>
      <ns0:c r="K229" s="93"/>
      <ns0:c r="L229" s="92"/>
      <ns0:c r="M229" s="93"/>
      <ns0:c r="N229" s="92"/>
      <ns0:c r="O229" s="93"/>
      <ns0:c r="P229" s="92"/>
      <ns0:c r="Q229" s="93"/>
      <ns0:c r="R229" s="177">
        <ns0:f>SUM(D231:P231)</ns0:f>
        <ns0:v>0</ns0:v>
      </ns0:c>
      <ns0:c r="S229" s="25" t="s">
        <ns0:v>8</ns0:v>
      </ns0:c>
    </ns0:row>
    <ns0:row r="230" spans="1:20" s="1" customFormat="1" ht="15" customHeight="1" ns3:dyDescent="0.25">
      <ns0:c r="A230" s="143" t="s">
        <ns0:v>16</ns0:v>
      </ns0:c>
      <ns0:c r="B230" s="144"/>
      <ns0:c r="C230" s="156"/>
      <ns0:c r="D230" s="92"/>
      <ns0:c r="E230" s="93"/>
      <ns0:c r="F230" s="92"/>
      <ns0:c r="G230" s="93"/>
      <ns0:c r="H230" s="92"/>
      <ns0:c r="I230" s="93"/>
      <ns0:c r="J230" s="92"/>
      <ns0:c r="K230" s="93"/>
      <ns0:c r="L230" s="92"/>
      <ns0:c r="M230" s="93"/>
      <ns0:c r="N230" s="92"/>
      <ns0:c r="O230" s="93"/>
      <ns0:c r="P230" s="92"/>
      <ns0:c r="Q230" s="93"/>
      <ns0:c r="R230" s="175"/>
      <ns0:c r="S230" s="25" t="s">
        <ns0:v>9</ns0:v>
      </ns0:c>
    </ns0:row>
    <ns0:row r="231" spans="1:20" s="1" customFormat="1" ht="15" customHeight="1" ns3:dyDescent="0.25">
      <ns0:c r="A231" s="141"/>
      <ns0:c r="B231" s="150"/>
      <ns0:c r="C231" s="157"/>
      <ns0:c r="D231" s="94">
        <ns0:f>IF((OR(D230="",D229="")),0,IF((D230&lt;D229),((D230-D229)*24)+24,(D230-D229)*24))</ns0:f>
        <ns0:v>0</ns0:v>
      </ns0:c>
      <ns0:c r="E231" s="95"/>
      <ns0:c r="F231" s="94">
        <ns0:f t="shared" ref="F231" si="419">IF((OR(F230="",F229="")),0,IF((F230&lt;F229),((F230-F229)*24)+24,(F230-F229)*24))</ns0:f>
        <ns0:v>0</ns0:v>
      </ns0:c>
      <ns0:c r="G231" s="95"/>
      <ns0:c r="H231" s="94">
        <ns0:f t="shared" ref="H231" si="420">IF((OR(H230="",H229="")),0,IF((H230&lt;H229),((H230-H229)*24)+24,(H230-H229)*24))</ns0:f>
        <ns0:v>0</ns0:v>
      </ns0:c>
      <ns0:c r="I231" s="95"/>
      <ns0:c r="J231" s="94">
        <ns0:f t="shared" ref="J231" si="421">IF((OR(J230="",J229="")),0,IF((J230&lt;J229),((J230-J229)*24)+24,(J230-J229)*24))</ns0:f>
        <ns0:v>0</ns0:v>
      </ns0:c>
      <ns0:c r="K231" s="95"/>
      <ns0:c r="L231" s="94">
        <ns0:f t="shared" ref="L231" si="422">IF((OR(L230="",L229="")),0,IF((L230&lt;L229),((L230-L229)*24)+24,(L230-L229)*24))</ns0:f>
        <ns0:v>0</ns0:v>
      </ns0:c>
      <ns0:c r="M231" s="95"/>
      <ns0:c r="N231" s="94">
        <ns0:f t="shared" ref="N231" si="423">IF((OR(N230="",N229="")),0,IF((N230&lt;N229),((N230-N229)*24)+24,(N230-N229)*24))</ns0:f>
        <ns0:v>0</ns0:v>
      </ns0:c>
      <ns0:c r="O231" s="95"/>
      <ns0:c r="P231" s="94">
        <ns0:f t="shared" ref="P231" si="424">IF((OR(P230="",P229="")),0,IF((P230&lt;P229),((P230-P229)*24)+24,(P230-P229)*24))</ns0:f>
        <ns0:v>0</ns0:v>
      </ns0:c>
      <ns0:c r="Q231" s="95"/>
      <ns0:c r="R231" s="176"/>
      <ns0:c r="S231" s="24" t="s">
        <ns0:v>12</ns0:v>
      </ns0:c>
    </ns0:row>
    <ns0:row r="232" spans="1:20" s="1" customFormat="1" ht="15" customHeight="1" ns3:dyDescent="0.25">
      <ns0:c r="A232" s="159"/>
      <ns0:c r="B232" s="160"/>
      <ns0:c r="C232" s="155" t="s">
        <ns0:v>17</ns0:v>
      </ns0:c>
      <ns0:c r="D232" s="92"/>
      <ns0:c r="E232" s="93"/>
      <ns0:c r="F232" s="92"/>
      <ns0:c r="G232" s="93"/>
      <ns0:c r="H232" s="92"/>
      <ns0:c r="I232" s="93"/>
      <ns0:c r="J232" s="92"/>
      <ns0:c r="K232" s="93"/>
      <ns0:c r="L232" s="92"/>
      <ns0:c r="M232" s="93"/>
      <ns0:c r="N232" s="92"/>
      <ns0:c r="O232" s="93"/>
      <ns0:c r="P232" s="92"/>
      <ns0:c r="Q232" s="93"/>
      <ns0:c r="R232" s="177">
        <ns0:f>SUM(D234:P234)</ns0:f>
        <ns0:v>0</ns0:v>
      </ns0:c>
      <ns0:c r="S232" s="25" t="s">
        <ns0:v>8</ns0:v>
      </ns0:c>
    </ns0:row>
    <ns0:row r="233" spans="1:20" s="1" customFormat="1" ht="15" customHeight="1" ns3:dyDescent="0.25">
      <ns0:c r="A233" s="141"/>
      <ns0:c r="B233" s="142"/>
      <ns0:c r="C233" s="156"/>
      <ns0:c r="D233" s="92"/>
      <ns0:c r="E233" s="93"/>
      <ns0:c r="F233" s="92"/>
      <ns0:c r="G233" s="93"/>
      <ns0:c r="H233" s="92"/>
      <ns0:c r="I233" s="93"/>
      <ns0:c r="J233" s="92"/>
      <ns0:c r="K233" s="93"/>
      <ns0:c r="L233" s="92"/>
      <ns0:c r="M233" s="93"/>
      <ns0:c r="N233" s="92"/>
      <ns0:c r="O233" s="93"/>
      <ns0:c r="P233" s="92"/>
      <ns0:c r="Q233" s="93"/>
      <ns0:c r="R233" s="175"/>
      <ns0:c r="S233" s="25" t="s">
        <ns0:v>9</ns0:v>
      </ns0:c>
    </ns0:row>
    <ns0:row r="234" spans="1:20" s="1" customFormat="1" ht="15" customHeight="1" thickBot="1" ns3:dyDescent="0.3">
      <ns0:c r="A234" s="148"/>
      <ns0:c r="B234" s="149"/>
      <ns0:c r="C234" s="157"/>
      <ns0:c r="D234" s="94">
        <ns0:f>IF((OR(D233="",D232="")),0,IF((D233&lt;D232),((D233-D232)*24)+24,(D233-D232)*24))</ns0:f>
        <ns0:v>0</ns0:v>
      </ns0:c>
      <ns0:c r="E234" s="95"/>
      <ns0:c r="F234" s="94">
        <ns0:f t="shared" ref="F234" si="425">IF((OR(F233="",F232="")),0,IF((F233&lt;F232),((F233-F232)*24)+24,(F233-F232)*24))</ns0:f>
        <ns0:v>0</ns0:v>
      </ns0:c>
      <ns0:c r="G234" s="95"/>
      <ns0:c r="H234" s="94">
        <ns0:f t="shared" ref="H234" si="426">IF((OR(H233="",H232="")),0,IF((H233&lt;H232),((H233-H232)*24)+24,(H233-H232)*24))</ns0:f>
        <ns0:v>0</ns0:v>
      </ns0:c>
      <ns0:c r="I234" s="95"/>
      <ns0:c r="J234" s="94">
        <ns0:f t="shared" ref="J234" si="427">IF((OR(J233="",J232="")),0,IF((J233&lt;J232),((J233-J232)*24)+24,(J233-J232)*24))</ns0:f>
        <ns0:v>0</ns0:v>
      </ns0:c>
      <ns0:c r="K234" s="95"/>
      <ns0:c r="L234" s="94">
        <ns0:f t="shared" ref="L234" si="428">IF((OR(L233="",L232="")),0,IF((L233&lt;L232),((L233-L232)*24)+24,(L233-L232)*24))</ns0:f>
        <ns0:v>0</ns0:v>
      </ns0:c>
      <ns0:c r="M234" s="95"/>
      <ns0:c r="N234" s="94">
        <ns0:f t="shared" ref="N234" si="429">IF((OR(N233="",N232="")),0,IF((N233&lt;N232),((N233-N232)*24)+24,(N233-N232)*24))</ns0:f>
        <ns0:v>0</ns0:v>
      </ns0:c>
      <ns0:c r="O234" s="95"/>
      <ns0:c r="P234" s="94">
        <ns0:f t="shared" ref="P234" si="430">IF((OR(P233="",P232="")),0,IF((P233&lt;P232),((P233-P232)*24)+24,(P233-P232)*24))</ns0:f>
        <ns0:v>0</ns0:v>
      </ns0:c>
      <ns0:c r="Q234" s="95"/>
      <ns0:c r="R234" s="176"/>
      <ns0:c r="S234" s="27" t="s">
        <ns0:v>12</ns0:v>
      </ns0:c>
    </ns0:row>
    <ns0:row r="235" spans="1:20" s="1" customFormat="1" ht="15" customHeight="1" thickBot="1" ns3:dyDescent="0.3">
      <ns0:c r="A235" s="145" t="s">
        <ns0:v>18</ns0:v>
      </ns0:c>
      <ns0:c r="B235" s="146"/>
      <ns0:c r="C235" s="147"/>
      <ns0:c r="D235" s="134">
        <ns0:f>D234+D231+D228</ns0:f>
        <ns0:v>0</ns0:v>
      </ns0:c>
      <ns0:c r="E235" s="135"/>
      <ns0:c r="F235" s="134">
        <ns0:f>F234+F231+F228</ns0:f>
        <ns0:v>0</ns0:v>
      </ns0:c>
      <ns0:c r="G235" s="135"/>
      <ns0:c r="H235" s="134">
        <ns0:f t="shared" ref="H235" si="431">H234+H231+H228</ns0:f>
        <ns0:v>0</ns0:v>
      </ns0:c>
      <ns0:c r="I235" s="135"/>
      <ns0:c r="J235" s="134">
        <ns0:f t="shared" ref="J235" si="432">J234+J231+J228</ns0:f>
        <ns0:v>0</ns0:v>
      </ns0:c>
      <ns0:c r="K235" s="135"/>
      <ns0:c r="L235" s="134">
        <ns0:f t="shared" ref="L235" si="433">L234+L231+L228</ns0:f>
        <ns0:v>0</ns0:v>
      </ns0:c>
      <ns0:c r="M235" s="135"/>
      <ns0:c r="N235" s="134">
        <ns0:f t="shared" ref="N235" si="434">N234+N231+N228</ns0:f>
        <ns0:v>0</ns0:v>
      </ns0:c>
      <ns0:c r="O235" s="135"/>
      <ns0:c r="P235" s="134">
        <ns0:f t="shared" ref="P235" si="435">P234+P231+P228</ns0:f>
        <ns0:v>0</ns0:v>
      </ns0:c>
      <ns0:c r="Q235" s="135"/>
      <ns0:c r="R235" s="62">
        <ns0:f>R232+R229+R226</ns0:f>
        <ns0:v>0</ns0:v>
      </ns0:c>
      <ns0:c r="S235" s="32" t="s">
        <ns0:v>12</ns0:v>
      </ns0:c>
    </ns0:row>
    <ns0:row r="236" spans="1:20" s="1" customFormat="1" ht="28.5" customHeight="1" ns3:dyDescent="0.25">
      <ns0:c r="A236" s="39" t="s">
        <ns0:v>20</ns0:v>
      </ns0:c>
      <ns0:c r="B236" s="40"/>
      <ns0:c r="C236" s="76" t="s">
        <ns0:v>7</ns0:v>
      </ns0:c>
      <ns0:c r="D236" s="119">
        <ns0:f>SUM(D8+D18+D28+D43+D53+D63+D78+D88+D98+D113+D123+D133+D148+D158+D168+D183+D193+D203+D218+D228)</ns0:f>
        <ns0:v>72</ns0:v>
      </ns0:c>
      <ns0:c r="E236" s="115"/>
      <ns0:c r="F236" s="115">
        <ns0:f t="shared" ref="F236" si="436">SUM(F8+F18+F28+F43+F53+F63+F78+F88+F98+F113+F123+F133+F148+F158+F168+F183+F193+F203+F218+F228)</ns0:f>
        <ns0:v>80</ns0:v>
      </ns0:c>
      <ns0:c r="G236" s="115"/>
      <ns0:c r="H236" s="115">
        <ns0:f t="shared" ref="H236" si="437">SUM(H8+H18+H28+H43+H53+H63+H78+H88+H98+H113+H123+H133+H148+H158+H168+H183+H193+H203+H218+H228)</ns0:f>
        <ns0:v>84</ns0:v>
      </ns0:c>
      <ns0:c r="I236" s="115"/>
      <ns0:c r="J236" s="115">
        <ns0:f t="shared" ref="J236" si="438">SUM(J8+J18+J28+J43+J53+J63+J78+J88+J98+J113+J123+J133+J148+J158+J168+J183+J193+J203+J218+J228)</ns0:f>
        <ns0:v>80</ns0:v>
      </ns0:c>
      <ns0:c r="K236" s="115"/>
      <ns0:c r="L236" s="115">
        <ns0:f t="shared" ref="L236" si="439">SUM(L8+L18+L28+L43+L53+L63+L78+L88+L98+L113+L123+L133+L148+L158+L168+L183+L193+L203+L218+L228)</ns0:f>
        <ns0:v>88</ns0:v>
      </ns0:c>
      <ns0:c r="M236" s="115"/>
      <ns0:c r="N236" s="115">
        <ns0:f t="shared" ref="N236" si="440">SUM(N8+N18+N28+N43+N53+N63+N78+N88+N98+N113+N123+N133+N148+N158+N168+N183+N193+N203+N218+N228)</ns0:f>
        <ns0:v>68</ns0:v>
      </ns0:c>
      <ns0:c r="O236" s="115"/>
      <ns0:c r="P236" s="115">
        <ns0:f t="shared" ref="P236" si="441">SUM(P8+P18+P28+P43+P53+P63+P78+P88+P98+P113+P123+P133+P148+P158+P168+P183+P193+P203+P218+P228)</ns0:f>
        <ns0:v>32</ns0:v>
      </ns0:c>
      <ns0:c r="Q236" s="133"/>
      <ns0:c r="R236" s="71">
        <ns0:f>SUM(D236:Q236)</ns0:f>
        <ns0:v>504</ns0:v>
      </ns0:c>
      <ns0:c r="S236" s="72" t="s">
        <ns0:v>12</ns0:v>
      </ns0:c>
    </ns0:row>
    <ns0:row r="237" spans="1:20" s="1" customFormat="1" ht="28.5" customHeight="1" thickBot="1" ns3:dyDescent="0.25">
      <ns0:c r="A237" s="26"/>
      <ns0:c r="B237" s="40"/>
      <ns0:c r="C237" s="77" t="s">
        <ns0:v>15</ns0:v>
      </ns0:c>
      <ns0:c r="D237" s="120">
        <ns0:f>SUM(D11+D21+D31+D46+D56+D66+D81+D91+D101+D116+D126+D136+D151+D161+D171+D186+D196+D206+D221+D231)</ns0:f>
        <ns0:v>0</ns0:v>
      </ns0:c>
      <ns0:c r="E237" s="121"/>
      <ns0:c r="F237" s="121">
        <ns0:f t="shared" ref="F237" si="442">SUM(F11+F21+F31+F46+F56+F66+F81+F91+F101+F116+F126+F136+F151+F161+F171+F186+F196+F206+F221+F231)</ns0:f>
        <ns0:v>0</ns0:v>
      </ns0:c>
      <ns0:c r="G237" s="121"/>
      <ns0:c r="H237" s="121">
        <ns0:f t="shared" ref="H237" si="443">SUM(H11+H21+H31+H46+H56+H66+H81+H91+H101+H116+H126+H136+H151+H161+H171+H186+H196+H206+H221+H231)</ns0:f>
        <ns0:v>0</ns0:v>
      </ns0:c>
      <ns0:c r="I237" s="121"/>
      <ns0:c r="J237" s="121">
        <ns0:f t="shared" ref="J237" si="444">SUM(J11+J21+J31+J46+J56+J66+J81+J91+J101+J116+J126+J136+J151+J161+J171+J186+J196+J206+J221+J231)</ns0:f>
        <ns0:v>0</ns0:v>
      </ns0:c>
      <ns0:c r="K237" s="121"/>
      <ns0:c r="L237" s="121">
        <ns0:f t="shared" ref="L237" si="445">SUM(L11+L21+L31+L46+L56+L66+L81+L91+L101+L116+L126+L136+L151+L161+L171+L186+L196+L206+L221+L231)</ns0:f>
        <ns0:v>0</ns0:v>
      </ns0:c>
      <ns0:c r="M237" s="121"/>
      <ns0:c r="N237" s="121">
        <ns0:f t="shared" ref="N237" si="446">SUM(N11+N21+N31+N46+N56+N66+N81+N91+N101+N116+N126+N136+N151+N161+N171+N186+N196+N206+N221+N231)</ns0:f>
        <ns0:v>7.9999999999999991</ns0:v>
      </ns0:c>
      <ns0:c r="O237" s="121"/>
      <ns0:c r="P237" s="121">
        <ns0:f t="shared" ref="P237" si="447">SUM(P11+P21+P31+P46+P56+P66+P81+P91+P101+P116+P126+P136+P151+P161+P171+P186+P196+P206+P221+P231)</ns0:f>
        <ns0:v>40</ns0:v>
      </ns0:c>
      <ns0:c r="Q237" s="132"/>
      <ns0:c r="R237" s="73">
        <ns0:f t="shared" ref="R237:R239" si="448">SUM(D237:Q237)</ns0:f>
        <ns0:v>48</ns0:v>
      </ns0:c>
      <ns0:c r="S237" s="72" t="s">
        <ns0:v>12</ns0:v>
      </ns0:c>
    </ns0:row>
    <ns0:row r="238" spans="1:20" s="1" customFormat="1" ht="28.5" customHeight="1" thickBot="1" ns3:dyDescent="0.3">
      <ns0:c r="A238" s="26"/>
      <ns0:c r="B238" s="40"/>
      <ns0:c r="C238" s="78" t="s">
        <ns0:v>17</ns0:v>
      </ns0:c>
      <ns0:c r="D238" s="125">
        <ns0:f>SUM(D14+D24+D34+D49+D59+D69+D84+D94+D104+D119+D129+D139+D154+D164+D174+D189+D199+D209+D224+D234)</ns0:f>
        <ns0:v>8</ns0:v>
      </ns0:c>
      <ns0:c r="E238" s="113"/>
      <ns0:c r="F238" s="113">
        <ns0:f t="shared" ref="F238" si="449">SUM(F14+F24+F34+F49+F59+F69+F84+F94+F104+F119+F129+F139+F154+F164+F174+F189+F199+F209+F224+F234)</ns0:f>
        <ns0:v>0</ns0:v>
      </ns0:c>
      <ns0:c r="G238" s="113"/>
      <ns0:c r="H238" s="113">
        <ns0:f t="shared" ref="H238" si="450">SUM(H14+H24+H34+H49+H59+H69+H84+H94+H104+H119+H129+H139+H154+H164+H174+H189+H199+H209+H224+H234)</ns0:f>
        <ns0:v>0</ns0:v>
      </ns0:c>
      <ns0:c r="I238" s="113"/>
      <ns0:c r="J238" s="113">
        <ns0:f t="shared" ref="J238" si="451">SUM(J14+J24+J34+J49+J59+J69+J84+J94+J104+J119+J129+J139+J154+J164+J174+J189+J199+J209+J224+J234)</ns0:f>
        <ns0:v>0</ns0:v>
      </ns0:c>
      <ns0:c r="K238" s="113"/>
      <ns0:c r="L238" s="113">
        <ns0:f t="shared" ref="L238" si="452">SUM(L14+L24+L34+L49+L59+L69+L84+L94+L104+L119+L129+L139+L154+L164+L174+L189+L199+L209+L224+L234)</ns0:f>
        <ns0:v>0</ns0:v>
      </ns0:c>
      <ns0:c r="M238" s="113"/>
      <ns0:c r="N238" s="113">
        <ns0:f t="shared" ref="N238" si="453">SUM(N14+N24+N34+N49+N59+N69+N84+N94+N104+N119+N129+N139+N154+N164+N174+N189+N199+N209+N224+N234)</ns0:f>
        <ns0:v>0</ns0:v>
      </ns0:c>
      <ns0:c r="O238" s="113"/>
      <ns0:c r="P238" s="113">
        <ns0:f t="shared" ref="P238" si="454">SUM(P14+P24+P34+P49+P59+P69+P84+P94+P104+P119+P129+P139+P154+P164+P174+P189+P199+P209+P224+P234)</ns0:f>
        <ns0:v>0</ns0:v>
      </ns0:c>
      <ns0:c r="Q238" s="114"/>
      <ns0:c r="R238" s="73">
        <ns0:f t="shared" si="448"/>
        <ns0:v>8</ns0:v>
      </ns0:c>
      <ns0:c r="S238" s="72" t="s">
        <ns0:v>12</ns0:v>
      </ns0:c>
      <ns0:c r="T238" s="41" t="s">
        <ns0:v>21</ns0:v>
      </ns0:c>
    </ns0:row>
    <ns0:row r="239" spans="1:20" s="1" customFormat="1" ht="28.5" customHeight="1" thickBot="1" ns3:dyDescent="0.3">
      <ns0:c r="A239" s="168" t="s">
        <ns0:v>22</ns0:v>
      </ns0:c>
      <ns0:c r="B239" s="169"/>
      <ns0:c r="C239" s="169"/>
      <ns0:c r="D239" s="124">
        <ns0:f>SUM(D236:E238)</ns0:f>
        <ns0:v>80</ns0:v>
      </ns0:c>
      <ns0:c r="E239" s="122"/>
      <ns0:c r="F239" s="122">
        <ns0:f t="shared" ref="F239" si="455">SUM(F236:G238)</ns0:f>
        <ns0:v>80</ns0:v>
      </ns0:c>
      <ns0:c r="G239" s="122"/>
      <ns0:c r="H239" s="122">
        <ns0:f t="shared" ref="H239" si="456">SUM(H236:I238)</ns0:f>
        <ns0:v>84</ns0:v>
      </ns0:c>
      <ns0:c r="I239" s="122"/>
      <ns0:c r="J239" s="122">
        <ns0:f t="shared" ref="J239" si="457">SUM(J236:K238)</ns0:f>
        <ns0:v>80</ns0:v>
      </ns0:c>
      <ns0:c r="K239" s="122"/>
      <ns0:c r="L239" s="122">
        <ns0:f t="shared" ref="L239" si="458">SUM(L236:M238)</ns0:f>
        <ns0:v>88</ns0:v>
      </ns0:c>
      <ns0:c r="M239" s="122"/>
      <ns0:c r="N239" s="122">
        <ns0:f t="shared" ref="N239" si="459">SUM(N236:O238)</ns0:f>
        <ns0:v>76</ns0:v>
      </ns0:c>
      <ns0:c r="O239" s="122"/>
      <ns0:c r="P239" s="122">
        <ns0:f t="shared" ref="P239" si="460">SUM(P236:Q238)</ns0:f>
        <ns0:v>72</ns0:v>
      </ns0:c>
      <ns0:c r="Q239" s="123"/>
      <ns0:c r="R239" s="74">
        <ns0:f t="shared" si="448"/>
        <ns0:v>560</ns0:v>
      </ns0:c>
      <ns0:c r="S239" s="75" t="s">
        <ns0:v>12</ns0:v>
      </ns0:c>
      <ns0:c r="T239" s="42">
        <ns0:f>+R236+R237+R238</ns0:f>
        <ns0:v>560</ns0:v>
      </ns0:c>
    </ns0:row>
    <ns0:row r="240" spans="1:20" ht="15" customHeight="1" thickBot="1" ns3:dyDescent="0.3">
      <ns0:c r="A240" s="43" t="s">
        <ns0:v>23</ns0:v>
      </ns0:c>
      <ns0:c r="B240" s="44"/>
      <ns0:c r="C240" s="45"/>
      <ns0:c r="D240" s="46">
        <ns0:v>544</ns0:v>
      </ns0:c>
      <ns0:c r="E240" s="47"/>
      <ns0:c r="F240" s="48"/>
      <ns0:c r="G240" s="48"/>
      <ns0:c r="H240" s="48"/>
      <ns0:c r="I240" s="48"/>
      <ns0:c r="J240" s="48"/>
      <ns0:c r="K240" s="48"/>
      <ns0:c r="L240" s="48"/>
      <ns0:c r="M240" s="48"/>
      <ns0:c r="N240" s="49"/>
      <ns0:c r="O240" s="49"/>
      <ns0:c r="P240" s="48"/>
      <ns0:c r="Q240" s="48"/>
      <ns0:c r="R240" s="50"/>
      <ns0:c r="S240" s="51"/>
    </ns0:row>
    <ns0:row r="241" spans="1:20" ht="21" customHeight="1" thickBot="1" ns3:dyDescent="0.3">
      <ns0:c r="A241" s="197" t="s">
        <ns0:v>52</ns0:v>
      </ns0:c>
      <ns0:c r="B241" s="197"/>
      <ns0:c r="C241" s="197"/>
      <ns0:c r="D241" s="197"/>
      <ns0:c r="E241" s="197"/>
      <ns0:c r="F241" s="197"/>
      <ns0:c r="G241" s="197"/>
      <ns0:c r="H241" s="197"/>
      <ns0:c r="I241" s="197"/>
      <ns0:c r="J241" s="197"/>
      <ns0:c r="K241" s="197"/>
      <ns0:c r="L241" s="197"/>
      <ns0:c r="M241" s="197"/>
      <ns0:c r="N241" s="61"/>
      <ns0:c r="O241" s="61"/>
      <ns0:c r="P241" s="60" t="s">
        <ns0:v>24</ns0:v>
      </ns0:c>
      <ns0:c r="Q241" s="61"/>
      <ns0:c r="R241" s="52"/>
      <ns0:c r="S241" s="193">
        <ns0:f>S2</ns0:f>
        <ns0:v>46116</ns0:v>
      </ns0:c>
      <ns0:c r="T241" s="194"/>
    </ns0:row>
    <ns0:row r="242" spans="1:20" ht="18" customHeight="1" thickBot="1" ns3:dyDescent="0.3">
      <ns0:c r="A242" s="182"/>
      <ns0:c r="B242" s="183"/>
      <ns0:c r="C242" s="184"/>
      <ns0:c r="D242" s="129" t="s">
        <ns0:v>25</ns0:v>
      </ns0:c>
      <ns0:c r="E242" s="130"/>
      <ns0:c r="F242" s="130"/>
      <ns0:c r="G242" s="130"/>
      <ns0:c r="H242" s="130"/>
      <ns0:c r="I242" s="130"/>
      <ns0:c r="J242" s="130"/>
      <ns0:c r="K242" s="130"/>
      <ns0:c r="L242" s="130"/>
      <ns0:c r="M242" s="130"/>
      <ns0:c r="N242" s="130"/>
      <ns0:c r="O242" s="130"/>
      <ns0:c r="P242" s="130"/>
      <ns0:c r="Q242" s="131"/>
      <ns0:c r="R242" s="182" t="s">
        <ns0:v>26</ns0:v>
      </ns0:c>
      <ns0:c r="S242" s="183"/>
      <ns0:c r="T242" s="184"/>
    </ns0:row>
    <ns0:row r="243" spans="1:20" ht="42" customHeight="1" thickBot="1" ns3:dyDescent="0.3">
      <ns0:c r="A243" s="163" t="s">
        <ns0:v>27</ns0:v>
      </ns0:c>
      <ns0:c r="B243" s="164"/>
      <ns0:c r="C243" s="66" t="s">
        <ns0:v>10</ns0:v>
      </ns0:c>
      <ns0:c r="D243" s="128" t="s">
        <ns0:v>28</ns0:v>
      </ns0:c>
      <ns0:c r="E243" s="127"/>
      <ns0:c r="F243" s="116" t="s">
        <ns0:v>29</ns0:v>
      </ns0:c>
      <ns0:c r="G243" s="117"/>
      <ns0:c r="H243" s="116" t="s">
        <ns0:v>30</ns0:v>
      </ns0:c>
      <ns0:c r="I243" s="117"/>
      <ns0:c r="J243" s="126" t="s">
        <ns0:v>31</ns0:v>
      </ns0:c>
      <ns0:c r="K243" s="127"/>
      <ns0:c r="L243" s="116" t="s">
        <ns0:v>32</ns0:v>
      </ns0:c>
      <ns0:c r="M243" s="117"/>
      <ns0:c r="N243" s="116" t="s">
        <ns0:v>33</ns0:v>
      </ns0:c>
      <ns0:c r="O243" s="117"/>
      <ns0:c r="P243" s="116" t="s">
        <ns0:v>34</ns0:v>
      </ns0:c>
      <ns0:c r="Q243" s="117"/>
      <ns0:c r="R243" s="53" t="s">
        <ns0:v>35</ns0:v>
      </ns0:c>
      <ns0:c r="S243" s="128" t="s">
        <ns0:v>36</ns0:v>
      </ns0:c>
      <ns0:c r="T243" s="185"/>
    </ns0:row>
    <ns0:row r="244" spans="1:20" ht="21.75" customHeight="1" ns3:dyDescent="0.25">
      <ns0:c r="A244" s="108" t="str">
        <ns0:f>A7</ns0:f>
        <ns0:v>Boerder, John</ns0:v>
      </ns0:c>
      <ns0:c r="B244" s="109"/>
      <ns0:c r="C244" s="69" t="str">
        <ns0:f>A9</ns0:f>
        <ns0:v>Super.</ns0:v>
      </ns0:c>
      <ns0:c r="D244" s="118">
        <ns0:v>40</ns0:v>
      </ns0:c>
      <ns0:c r="E244" s="118"/>
      <ns0:c r="F244" s="118"/>
      <ns0:c r="G244" s="118"/>
      <ns0:c r="H244" s="118"/>
      <ns0:c r="I244" s="118"/>
      <ns0:c r="J244" s="118"/>
      <ns0:c r="K244" s="118"/>
      <ns0:c r="L244" s="118"/>
      <ns0:c r="M244" s="118"/>
      <ns0:c r="N244" s="118"/>
      <ns0:c r="O244" s="118"/>
      <ns0:c r="P244" s="118"/>
      <ns0:c r="Q244" s="118"/>
      <ns0:c r="R244" s="64"/>
      <ns0:c r="S244" s="186">
        <ns0:f>SUM(D244:R244)</ns0:f>
        <ns0:v>40</ns0:v>
      </ns0:c>
      <ns0:c r="T244" s="187"/>
    </ns0:row>
    <ns0:row r="245" spans="1:20" ht="21.75" customHeight="1" ns3:dyDescent="0.25">
      <ns0:c r="A245" s="191" t="str">
        <ns0:f>A17</ns0:f>
        <ns0:v>Hanna, Gerald</ns0:v>
      </ns0:c>
      <ns0:c r="B245" s="192"/>
      <ns0:c r="C245" s="68" t="str">
        <ns0:f>A19</ns0:f>
        <ns0:v>-</ns0:v>
      </ns0:c>
      <ns0:c r="D245" s="105">
        <ns0:v>40</ns0:v>
      </ns0:c>
      <ns0:c r="E245" s="105"/>
      <ns0:c r="F245" s="105"/>
      <ns0:c r="G245" s="105"/>
      <ns0:c r="H245" s="105"/>
      <ns0:c r="I245" s="105"/>
      <ns0:c r="J245" s="105"/>
      <ns0:c r="K245" s="105"/>
      <ns0:c r="L245" s="105"/>
      <ns0:c r="M245" s="105"/>
      <ns0:c r="N245" s="105"/>
      <ns0:c r="O245" s="105"/>
      <ns0:c r="P245" s="105"/>
      <ns0:c r="Q245" s="105"/>
      <ns0:c r="R245" s="63"/>
      <ns0:c r="S245" s="188">
        <ns0:f t="shared" ref="S245:S246" si="461">SUM(D245:R245)</ns0:f>
        <ns0:v>40</ns0:v>
      </ns0:c>
      <ns0:c r="T245" s="189"/>
    </ns0:row>
    <ns0:row r="246" spans="1:20" ht="21.75" customHeight="1" ns3:dyDescent="0.25">
      <ns0:c r="A246" s="191" t="str">
        <ns0:f>A27</ns0:f>
        <ns0:v>Shafer, Shamus</ns0:v>
      </ns0:c>
      <ns0:c r="B246" s="192"/>
      <ns0:c r="C246" s="68" t="str">
        <ns0:f>A29</ns0:f>
        <ns0:v>Assist.</ns0:v>
      </ns0:c>
      <ns0:c r="D246" s="105">
        <ns0:v>40</ns0:v>
      </ns0:c>
      <ns0:c r="E246" s="105"/>
      <ns0:c r="F246" s="105"/>
      <ns0:c r="G246" s="105"/>
      <ns0:c r="H246" s="105"/>
      <ns0:c r="I246" s="105"/>
      <ns0:c r="J246" s="105"/>
      <ns0:c r="K246" s="105"/>
      <ns0:c r="L246" s="105"/>
      <ns0:c r="M246" s="105"/>
      <ns0:c r="N246" s="105"/>
      <ns0:c r="O246" s="105"/>
      <ns0:c r="P246" s="105"/>
      <ns0:c r="Q246" s="105"/>
      <ns0:c r="R246" s="63">
        <ns0:v>12</ns0:v>
      </ns0:c>
      <ns0:c r="S246" s="188">
        <ns0:f t="shared" si="461"/>
        <ns0:v>52</ns0:v>
      </ns0:c>
      <ns0:c r="T246" s="189"/>
    </ns0:row>
    <ns0:row r="247" spans="1:20" ht="21.75" customHeight="1" ns3:dyDescent="0.25">
      <ns0:c r="A247" s="191" t="str">
        <ns0:f>A42</ns0:f>
        <ns0:v>Harms, Bridgette</ns0:v>
      </ns0:c>
      <ns0:c r="B247" s="192"/>
      <ns0:c r="C247" s="68" t="str">
        <ns0:f>A44</ns0:f>
        <ns0:v>EMR</ns0:v>
      </ns0:c>
      <ns0:c r="D247" s="105">
        <ns0:v>32</ns0:v>
      </ns0:c>
      <ns0:c r="E247" s="105"/>
      <ns0:c r="F247" s="105"/>
      <ns0:c r="G247" s="105"/>
      <ns0:c r="H247" s="105"/>
      <ns0:c r="I247" s="105"/>
      <ns0:c r="J247" s="105">
        <ns0:v>8</ns0:v>
      </ns0:c>
      <ns0:c r="K247" s="105"/>
      <ns0:c r="L247" s="105"/>
      <ns0:c r="M247" s="105"/>
      <ns0:c r="N247" s="105"/>
      <ns0:c r="O247" s="105"/>
      <ns0:c r="P247" s="105"/>
      <ns0:c r="Q247" s="105"/>
      <ns0:c r="R247" s="63"/>
      <ns0:c r="S247" s="188">
        <ns0:f t="shared" ref="S247:S253" si="462">SUM(D247:R247)</ns0:f>
        <ns0:v>40</ns0:v>
      </ns0:c>
      <ns0:c r="T247" s="189"/>
    </ns0:row>
    <ns0:row r="248" spans="1:20" ht="21.75" customHeight="1" ns3:dyDescent="0.25">
      <ns0:c r="A248" s="191" t="str">
        <ns0:f>A52</ns0:f>
        <ns0:v>Hillenburg, Elizabeth</ns0:v>
      </ns0:c>
      <ns0:c r="B248" s="192"/>
      <ns0:c r="C248" s="68" t="str">
        <ns0:f>A54</ns0:f>
        <ns0:v>EMR</ns0:v>
      </ns0:c>
      <ns0:c r="D248" s="105">
        <ns0:v>40</ns0:v>
      </ns0:c>
      <ns0:c r="E248" s="105"/>
      <ns0:c r="F248" s="105"/>
      <ns0:c r="G248" s="105"/>
      <ns0:c r="H248" s="105"/>
      <ns0:c r="I248" s="105"/>
      <ns0:c r="J248" s="105"/>
      <ns0:c r="K248" s="105"/>
      <ns0:c r="L248" s="105"/>
      <ns0:c r="M248" s="105"/>
      <ns0:c r="N248" s="105"/>
      <ns0:c r="O248" s="105"/>
      <ns0:c r="P248" s="105"/>
      <ns0:c r="Q248" s="105"/>
      <ns0:c r="R248" s="63">
        <ns0:v>20</ns0:v>
      </ns0:c>
      <ns0:c r="S248" s="188">
        <ns0:f t="shared" si="462"/>
        <ns0:v>60</ns0:v>
      </ns0:c>
      <ns0:c r="T248" s="189"/>
    </ns0:row>
    <ns0:row r="249" spans="1:20" ht="21.75" customHeight="1" ns3:dyDescent="0.25">
      <ns0:c r="A249" s="191" t="str">
        <ns0:f>A62</ns0:f>
        <ns0:v>Bentley, Thomas</ns0:v>
      </ns0:c>
      <ns0:c r="B249" s="192"/>
      <ns0:c r="C249" s="67" t="str">
        <ns0:f>A64</ns0:f>
        <ns0:v>-</ns0:v>
      </ns0:c>
      <ns0:c r="D249" s="105">
        <ns0:v>40</ns0:v>
      </ns0:c>
      <ns0:c r="E249" s="105"/>
      <ns0:c r="F249" s="105"/>
      <ns0:c r="G249" s="105"/>
      <ns0:c r="H249" s="105" t="s">
        <ns0:v>58</ns0:v>
      </ns0:c>
      <ns0:c r="I249" s="105"/>
      <ns0:c r="J249" s="105"/>
      <ns0:c r="K249" s="105"/>
      <ns0:c r="L249" s="105"/>
      <ns0:c r="M249" s="105"/>
      <ns0:c r="N249" s="105"/>
      <ns0:c r="O249" s="105"/>
      <ns0:c r="P249" s="105"/>
      <ns0:c r="Q249" s="105"/>
      <ns0:c r="R249" s="63"/>
      <ns0:c r="S249" s="188">
        <ns0:f t="shared" si="462"/>
        <ns0:v>40</ns0:v>
      </ns0:c>
      <ns0:c r="T249" s="189"/>
    </ns0:row>
    <ns0:row r="250" spans="1:20" ht="21.75" customHeight="1" ns3:dyDescent="0.25">
      <ns0:c r="A250" s="191">
        <ns0:f>A77</ns0:f>
        <ns0:v>0</ns0:v>
      </ns0:c>
      <ns0:c r="B250" s="192"/>
      <ns0:c r="C250" s="67" t="str">
        <ns0:f>A79</ns0:f>
        <ns0:v>-</ns0:v>
      </ns0:c>
      <ns0:c r="D250" s="105"/>
      <ns0:c r="E250" s="105"/>
      <ns0:c r="F250" s="105"/>
      <ns0:c r="G250" s="105"/>
      <ns0:c r="H250" s="105" t="s">
        <ns0:v>58</ns0:v>
      </ns0:c>
      <ns0:c r="I250" s="105"/>
      <ns0:c r="J250" s="105"/>
      <ns0:c r="K250" s="105"/>
      <ns0:c r="L250" s="105"/>
      <ns0:c r="M250" s="105"/>
      <ns0:c r="N250" s="105"/>
      <ns0:c r="O250" s="105"/>
      <ns0:c r="P250" s="105"/>
      <ns0:c r="Q250" s="105"/>
      <ns0:c r="R250" s="63"/>
      <ns0:c r="S250" s="188">
        <ns0:f t="shared" si="462"/>
        <ns0:v>0</ns0:v>
      </ns0:c>
      <ns0:c r="T250" s="189"/>
    </ns0:row>
    <ns0:row r="251" spans="1:20" ht="21.75" customHeight="1" ns3:dyDescent="0.25">
      <ns0:c r="A251" s="191" t="str">
        <ns0:f>A87</ns0:f>
        <ns0:v>Parks,Jessica</ns0:v>
      </ns0:c>
      <ns0:c r="B251" s="192"/>
      <ns0:c r="C251" s="67" t="str">
        <ns0:f>A89</ns0:f>
        <ns0:v>EMR</ns0:v>
      </ns0:c>
      <ns0:c r="D251" s="105">
        <ns0:v>40</ns0:v>
      </ns0:c>
      <ns0:c r="E251" s="105"/>
      <ns0:c r="F251" s="105"/>
      <ns0:c r="G251" s="105"/>
      <ns0:c r="H251" s="105"/>
      <ns0:c r="I251" s="105"/>
      <ns0:c r="J251" s="105"/>
      <ns0:c r="K251" s="105"/>
      <ns0:c r="L251" s="105"/>
      <ns0:c r="M251" s="105"/>
      <ns0:c r="N251" s="105"/>
      <ns0:c r="O251" s="105"/>
      <ns0:c r="P251" s="105"/>
      <ns0:c r="Q251" s="105"/>
      <ns0:c r="R251" s="63"/>
      <ns0:c r="S251" s="188">
        <ns0:f t="shared" si="462"/>
        <ns0:v>40</ns0:v>
      </ns0:c>
      <ns0:c r="T251" s="189"/>
    </ns0:row>
    <ns0:row r="252" spans="1:20" ht="21.75" customHeight="1" ns3:dyDescent="0.25">
      <ns0:c r="A252" s="191" t="str">
        <ns0:f>A97</ns0:f>
        <ns0:v>Staffan, Sara</ns0:v>
      </ns0:c>
      <ns0:c r="B252" s="192"/>
      <ns0:c r="C252" s="68" t="str">
        <ns0:f>A99</ns0:f>
        <ns0:v>EMR</ns0:v>
      </ns0:c>
      <ns0:c r="D252" s="105">
        <ns0:v>24.5</ns0:v>
      </ns0:c>
      <ns0:c r="E252" s="105"/>
      <ns0:c r="F252" s="105"/>
      <ns0:c r="G252" s="105"/>
      <ns0:c r="H252" s="105"/>
      <ns0:c r="I252" s="105"/>
      <ns0:c r="J252" s="105"/>
      <ns0:c r="K252" s="105"/>
      <ns0:c r="L252" s="105"/>
      <ns0:c r="M252" s="105"/>
      <ns0:c r="N252" s="105">
        <ns0:v>7.5</ns0:v>
      </ns0:c>
      <ns0:c r="O252" s="105"/>
      <ns0:c r="P252" s="105"/>
      <ns0:c r="Q252" s="105"/>
      <ns0:c r="R252" s="63"/>
      <ns0:c r="S252" s="188">
        <ns0:f t="shared" si="462"/>
        <ns0:v>32</ns0:v>
      </ns0:c>
      <ns0:c r="T252" s="189"/>
    </ns0:row>
    <ns0:row r="253" spans="1:20" ht="21.75" customHeight="1" ns3:dyDescent="0.25">
      <ns0:c r="A253" s="191" t="str">
        <ns0:f>A112</ns0:f>
        <ns0:v>Cameron, Hunter</ns0:v>
      </ns0:c>
      <ns0:c r="B253" s="192"/>
      <ns0:c r="C253" s="68" t="str">
        <ns0:f>A114</ns0:f>
        <ns0:v>-</ns0:v>
      </ns0:c>
      <ns0:c r="D253" s="105">
        <ns0:v>40</ns0:v>
      </ns0:c>
      <ns0:c r="E253" s="105"/>
      <ns0:c r="F253" s="105"/>
      <ns0:c r="G253" s="105"/>
      <ns0:c r="H253" s="105" t="s">
        <ns0:v>59</ns0:v>
      </ns0:c>
      <ns0:c r="I253" s="105"/>
      <ns0:c r="J253" s="105"/>
      <ns0:c r="K253" s="105"/>
      <ns0:c r="L253" s="105"/>
      <ns0:c r="M253" s="105"/>
      <ns0:c r="N253" s="105"/>
      <ns0:c r="O253" s="105"/>
      <ns0:c r="P253" s="105"/>
      <ns0:c r="Q253" s="105"/>
      <ns0:c r="R253" s="63">
        <ns0:v>4</ns0:v>
      </ns0:c>
      <ns0:c r="S253" s="188">
        <ns0:f t="shared" si="462"/>
        <ns0:v>44</ns0:v>
      </ns0:c>
      <ns0:c r="T253" s="189"/>
    </ns0:row>
    <ns0:row r="254" spans="1:20" ht="21.75" customHeight="1" ns3:dyDescent="0.25">
      <ns0:c r="A254" s="191" t="str">
        <ns0:f>A122</ns0:f>
        <ns0:v>Pete, David</ns0:v>
      </ns0:c>
      <ns0:c r="B254" s="192"/>
      <ns0:c r="C254" s="68" t="str">
        <ns0:f>A124</ns0:f>
        <ns0:v>EMR</ns0:v>
      </ns0:c>
      <ns0:c r="D254" s="105">
        <ns0:v>40</ns0:v>
      </ns0:c>
      <ns0:c r="E254" s="105"/>
      <ns0:c r="F254" s="105"/>
      <ns0:c r="G254" s="105"/>
      <ns0:c r="H254" s="105"/>
      <ns0:c r="I254" s="105"/>
      <ns0:c r="J254" s="105"/>
      <ns0:c r="K254" s="105"/>
      <ns0:c r="L254" s="105"/>
      <ns0:c r="M254" s="105"/>
      <ns0:c r="N254" s="105"/>
      <ns0:c r="O254" s="105"/>
      <ns0:c r="P254" s="105">
        <ns0:v>8</ns0:v>
      </ns0:c>
      <ns0:c r="Q254" s="105"/>
      <ns0:c r="R254" s="63"/>
      <ns0:c r="S254" s="188">
        <ns0:f t="shared" ref="S254:S263" si="463">SUM(D254:R254)</ns0:f>
        <ns0:v>48</ns0:v>
      </ns0:c>
      <ns0:c r="T254" s="189"/>
    </ns0:row>
    <ns0:row r="255" spans="1:20" ht="21.75" customHeight="1" ns3:dyDescent="0.25">
      <ns0:c r="A255" s="191" t="str">
        <ns0:f>A132</ns0:f>
        <ns0:v>Londo,  James</ns0:v>
      </ns0:c>
      <ns0:c r="B255" s="192"/>
      <ns0:c r="C255" s="68">
        <ns0:f>A134</ns0:f>
        <ns0:v>0</ns0:v>
      </ns0:c>
      <ns0:c r="D255" s="105">
        <ns0:v>40</ns0:v>
      </ns0:c>
      <ns0:c r="E255" s="105"/>
      <ns0:c r="F255" s="105"/>
      <ns0:c r="G255" s="105"/>
      <ns0:c r="H255" s="105"/>
      <ns0:c r="I255" s="105"/>
      <ns0:c r="J255" s="105"/>
      <ns0:c r="K255" s="105"/>
      <ns0:c r="L255" s="105"/>
      <ns0:c r="M255" s="105"/>
      <ns0:c r="N255" s="105"/>
      <ns0:c r="O255" s="105"/>
      <ns0:c r="P255" s="105"/>
      <ns0:c r="Q255" s="105"/>
      <ns0:c r="R255" s="63">
        <ns0:v>4</ns0:v>
      </ns0:c>
      <ns0:c r="S255" s="188">
        <ns0:f t="shared" si="463"/>
        <ns0:v>44</ns0:v>
      </ns0:c>
      <ns0:c r="T255" s="189"/>
    </ns0:row>
    <ns0:row r="256" spans="1:20" ht="21.75" customHeight="1" ns3:dyDescent="0.25">
      <ns0:c r="A256" s="191" t="str">
        <ns0:f>A147</ns0:f>
        <ns0:v>Cole, Brad</ns0:v>
      </ns0:c>
      <ns0:c r="B256" s="192"/>
      <ns0:c r="C256" s="68">
        <ns0:f>A149</ns0:f>
        <ns0:v>0</ns0:v>
      </ns0:c>
      <ns0:c r="D256" s="105">
        <ns0:v>40</ns0:v>
      </ns0:c>
      <ns0:c r="E256" s="105"/>
      <ns0:c r="F256" s="105"/>
      <ns0:c r="G256" s="105"/>
      <ns0:c r="H256" s="105"/>
      <ns0:c r="I256" s="105"/>
      <ns0:c r="J256" s="105"/>
      <ns0:c r="K256" s="105"/>
      <ns0:c r="L256" s="105"/>
      <ns0:c r="M256" s="105"/>
      <ns0:c r="N256" s="105"/>
      <ns0:c r="O256" s="105"/>
      <ns0:c r="P256" s="105"/>
      <ns0:c r="Q256" s="105"/>
      <ns0:c r="R256" s="63"/>
      <ns0:c r="S256" s="188">
        <ns0:f t="shared" si="463"/>
        <ns0:v>40</ns0:v>
      </ns0:c>
      <ns0:c r="T256" s="189"/>
    </ns0:row>
    <ns0:row r="257" spans="1:20" ht="21.75" customHeight="1" ns3:dyDescent="0.25">
      <ns0:c r="A257" s="191">
        <ns0:f>A157</ns0:f>
        <ns0:v>0</ns0:v>
      </ns0:c>
      <ns0:c r="B257" s="192"/>
      <ns0:c r="C257" s="68" t="str">
        <ns0:f>A159</ns0:f>
        <ns0:v>-</ns0:v>
      </ns0:c>
      <ns0:c r="D257" s="105"/>
      <ns0:c r="E257" s="105"/>
      <ns0:c r="F257" s="105"/>
      <ns0:c r="G257" s="105"/>
      <ns0:c r="H257" s="105"/>
      <ns0:c r="I257" s="105"/>
      <ns0:c r="J257" s="105"/>
      <ns0:c r="K257" s="105"/>
      <ns0:c r="L257" s="105"/>
      <ns0:c r="M257" s="105"/>
      <ns0:c r="N257" s="105"/>
      <ns0:c r="O257" s="105"/>
      <ns0:c r="P257" s="105"/>
      <ns0:c r="Q257" s="105"/>
      <ns0:c r="R257" s="63"/>
      <ns0:c r="S257" s="188">
        <ns0:f t="shared" si="463"/>
        <ns0:v>0</ns0:v>
      </ns0:c>
      <ns0:c r="T257" s="189"/>
    </ns0:row>
    <ns0:row r="258" spans="1:20" ht="21.75" customHeight="1" ns3:dyDescent="0.25">
      <ns0:c r="A258" s="191">
        <ns0:f>A167</ns0:f>
        <ns0:v>0</ns0:v>
      </ns0:c>
      <ns0:c r="B258" s="192"/>
      <ns0:c r="C258" s="68">
        <ns0:f>A169</ns0:f>
        <ns0:v>0</ns0:v>
      </ns0:c>
      <ns0:c r="D258" s="105"/>
      <ns0:c r="E258" s="105"/>
      <ns0:c r="F258" s="105"/>
      <ns0:c r="G258" s="105"/>
      <ns0:c r="H258" s="105"/>
      <ns0:c r="I258" s="105"/>
      <ns0:c r="J258" s="105"/>
      <ns0:c r="K258" s="105"/>
      <ns0:c r="L258" s="105"/>
      <ns0:c r="M258" s="105"/>
      <ns0:c r="N258" s="105"/>
      <ns0:c r="O258" s="105"/>
      <ns0:c r="P258" s="105"/>
      <ns0:c r="Q258" s="105"/>
      <ns0:c r="R258" s="63"/>
      <ns0:c r="S258" s="188">
        <ns0:f t="shared" si="463"/>
        <ns0:v>0</ns0:v>
      </ns0:c>
      <ns0:c r="T258" s="189"/>
    </ns0:row>
    <ns0:row r="259" spans="1:20" ht="21.75" customHeight="1" ns3:dyDescent="0.25">
      <ns0:c r="A259" s="191" t="str">
        <ns0:f>A182</ns0:f>
        <ns0:v>Beverly, Tony</ns0:v>
      </ns0:c>
      <ns0:c r="B259" s="192"/>
      <ns0:c r="C259" s="68" t="str">
        <ns0:f>A184</ns0:f>
        <ns0:v>-</ns0:v>
      </ns0:c>
      <ns0:c r="D259" s="105">
        <ns0:v>16</ns0:v>
      </ns0:c>
      <ns0:c r="E259" s="105"/>
      <ns0:c r="F259" s="105"/>
      <ns0:c r="G259" s="105"/>
      <ns0:c r="H259" s="105" t="s">
        <ns0:v>60</ns0:v>
      </ns0:c>
      <ns0:c r="I259" s="105"/>
      <ns0:c r="J259" s="105"/>
      <ns0:c r="K259" s="105"/>
      <ns0:c r="L259" s="105"/>
      <ns0:c r="M259" s="105"/>
      <ns0:c r="N259" s="105"/>
      <ns0:c r="O259" s="105"/>
      <ns0:c r="P259" s="105"/>
      <ns0:c r="Q259" s="105"/>
      <ns0:c r="R259" s="63"/>
      <ns0:c r="S259" s="188">
        <ns0:f t="shared" si="463"/>
        <ns0:v>16</ns0:v>
      </ns0:c>
      <ns0:c r="T259" s="189"/>
    </ns0:row>
    <ns0:row r="260" spans="1:20" ht="21.75" customHeight="1" ns3:dyDescent="0.25">
      <ns0:c r="A260" s="191" t="str">
        <ns0:f>A192</ns0:f>
        <ns0:v>Ray, Bruce</ns0:v>
      </ns0:c>
      <ns0:c r="B260" s="192"/>
      <ns0:c r="C260" s="68" t="str">
        <ns0:f>A194</ns0:f>
        <ns0:v>-</ns0:v>
      </ns0:c>
      <ns0:c r="D260" s="105">
        <ns0:v>24</ns0:v>
      </ns0:c>
      <ns0:c r="E260" s="105"/>
      <ns0:c r="F260" s="105"/>
      <ns0:c r="G260" s="105"/>
      <ns0:c r="H260" s="105"/>
      <ns0:c r="I260" s="105"/>
      <ns0:c r="J260" s="105"/>
      <ns0:c r="K260" s="105"/>
      <ns0:c r="L260" s="105"/>
      <ns0:c r="M260" s="105"/>
      <ns0:c r="N260" s="105"/>
      <ns0:c r="O260" s="105"/>
      <ns0:c r="P260" s="105"/>
      <ns0:c r="Q260" s="105"/>
      <ns0:c r="R260" s="63"/>
      <ns0:c r="S260" s="188">
        <ns0:f t="shared" si="463"/>
        <ns0:v>24</ns0:v>
      </ns0:c>
      <ns0:c r="T260" s="189"/>
    </ns0:row>
    <ns0:row r="261" spans="1:20" ht="21.75" customHeight="1" ns3:dyDescent="0.25">
      <ns0:c r="A261" s="191">
        <ns0:f>A202</ns0:f>
        <ns0:v>0</ns0:v>
      </ns0:c>
      <ns0:c r="B261" s="192"/>
      <ns0:c r="C261" s="68">
        <ns0:f>A204</ns0:f>
        <ns0:v>0</ns0:v>
      </ns0:c>
      <ns0:c r="D261" s="105"/>
      <ns0:c r="E261" s="105"/>
      <ns0:c r="F261" s="105"/>
      <ns0:c r="G261" s="105"/>
      <ns0:c r="H261" s="105"/>
      <ns0:c r="I261" s="105"/>
      <ns0:c r="J261" s="105"/>
      <ns0:c r="K261" s="105"/>
      <ns0:c r="L261" s="105"/>
      <ns0:c r="M261" s="105"/>
      <ns0:c r="N261" s="105"/>
      <ns0:c r="O261" s="105"/>
      <ns0:c r="P261" s="105"/>
      <ns0:c r="Q261" s="105"/>
      <ns0:c r="R261" s="63"/>
      <ns0:c r="S261" s="188">
        <ns0:f t="shared" si="463"/>
        <ns0:v>0</ns0:v>
      </ns0:c>
      <ns0:c r="T261" s="189"/>
    </ns0:row>
    <ns0:row r="262" spans="1:20" ht="21.75" customHeight="1" ns3:dyDescent="0.25">
      <ns0:c r="A262" s="191">
        <ns0:f>A217</ns0:f>
        <ns0:v>0</ns0:v>
      </ns0:c>
      <ns0:c r="B262" s="192"/>
      <ns0:c r="C262" s="68" t="str">
        <ns0:f>A219</ns0:f>
        <ns0:v>-</ns0:v>
      </ns0:c>
      <ns0:c r="D262" s="105"/>
      <ns0:c r="E262" s="105"/>
      <ns0:c r="F262" s="105"/>
      <ns0:c r="G262" s="105"/>
      <ns0:c r="H262" s="105"/>
      <ns0:c r="I262" s="105"/>
      <ns0:c r="J262" s="105"/>
      <ns0:c r="K262" s="105"/>
      <ns0:c r="L262" s="105"/>
      <ns0:c r="M262" s="105"/>
      <ns0:c r="N262" s="105"/>
      <ns0:c r="O262" s="105"/>
      <ns0:c r="P262" s="105"/>
      <ns0:c r="Q262" s="105"/>
      <ns0:c r="R262" s="63"/>
      <ns0:c r="S262" s="188">
        <ns0:f t="shared" si="463"/>
        <ns0:v>0</ns0:v>
      </ns0:c>
      <ns0:c r="T262" s="189"/>
    </ns0:row>
    <ns0:row r="263" spans="1:20" ht="21.75" customHeight="1" thickBot="1" ns3:dyDescent="0.3">
      <ns0:c r="A263" s="201">
        <ns0:f>A227</ns0:f>
        <ns0:v>0</ns0:v>
      </ns0:c>
      <ns0:c r="B263" s="202"/>
      <ns0:c r="C263" s="70" t="str">
        <ns0:f>A229</ns0:f>
        <ns0:v>-</ns0:v>
      </ns0:c>
      <ns0:c r="D263" s="215"/>
      <ns0:c r="E263" s="215"/>
      <ns0:c r="F263" s="215"/>
      <ns0:c r="G263" s="215"/>
      <ns0:c r="H263" s="215"/>
      <ns0:c r="I263" s="215"/>
      <ns0:c r="J263" s="215"/>
      <ns0:c r="K263" s="215"/>
      <ns0:c r="L263" s="215"/>
      <ns0:c r="M263" s="215"/>
      <ns0:c r="N263" s="215"/>
      <ns0:c r="O263" s="215"/>
      <ns0:c r="P263" s="215"/>
      <ns0:c r="Q263" s="215"/>
      <ns0:c r="R263" s="65"/>
      <ns0:c r="S263" s="216">
        <ns0:f t="shared" si="463"/>
        <ns0:v>0</ns0:v>
      </ns0:c>
      <ns0:c r="T263" s="217"/>
    </ns0:row>
    <ns0:row r="264" spans="1:20" ht="20.100000000000001" customHeight="1" thickBot="1" ns3:dyDescent="0.3">
      <ns0:c r="A264" s="203" t="s">
        <ns0:v>37</ns0:v>
      </ns0:c>
      <ns0:c r="B264" s="204"/>
      <ns0:c r="C264" s="205"/>
      <ns0:c r="D264" s="111">
        <ns0:f>SUM(D244:E263)</ns0:f>
        <ns0:v>496.5</ns0:v>
      </ns0:c>
      <ns0:c r="E264" s="112"/>
      <ns0:c r="F264" s="111">
        <ns0:f t="shared" ref="F264" si="464">SUM(F244:G263)</ns0:f>
        <ns0:v>0</ns0:v>
      </ns0:c>
      <ns0:c r="G264" s="112"/>
      <ns0:c r="H264" s="111">
        <ns0:f t="shared" ref="H264" si="465">SUM(H244:I263)</ns0:f>
        <ns0:v>0</ns0:v>
      </ns0:c>
      <ns0:c r="I264" s="112"/>
      <ns0:c r="J264" s="111">
        <ns0:f t="shared" ref="J264" si="466">SUM(J244:K263)</ns0:f>
        <ns0:v>8</ns0:v>
      </ns0:c>
      <ns0:c r="K264" s="112"/>
      <ns0:c r="L264" s="111">
        <ns0:f t="shared" ref="L264" si="467">SUM(L244:M263)</ns0:f>
        <ns0:v>0</ns0:v>
      </ns0:c>
      <ns0:c r="M264" s="112"/>
      <ns0:c r="N264" s="111">
        <ns0:f t="shared" ref="N264" si="468">SUM(N244:O263)</ns0:f>
        <ns0:v>7.5</ns0:v>
      </ns0:c>
      <ns0:c r="O264" s="112"/>
      <ns0:c r="P264" s="111">
        <ns0:f t="shared" ref="P264" si="469">SUM(P244:Q263)</ns0:f>
        <ns0:v>8</ns0:v>
      </ns0:c>
      <ns0:c r="Q264" s="112"/>
      <ns0:c r="R264" s="54">
        <ns0:f>SUM(R244:R263)</ns0:f>
        <ns0:v>40</ns0:v>
      </ns0:c>
      <ns0:c r="S264" s="111">
        <ns0:f>SUM(S244:T263)</ns0:f>
        <ns0:v>560</ns0:v>
      </ns0:c>
      <ns0:c r="T264" s="181"/>
    </ns0:row>
    <ns0:row r="265" spans="1:20" ht="21" customHeight="1" thickBot="1" ns3:dyDescent="0.3">
      <ns0:c r="A265" s="212" t="str">
        <ns0:f>A241</ns0:f>
        <ns0:v>BILLING AND  PAYROLL WORKSHEET RECAP for PCA-Filer City</ns0:v>
      </ns0:c>
      <ns0:c r="B265" s="212"/>
      <ns0:c r="C265" s="212"/>
      <ns0:c r="D265" s="212"/>
      <ns0:c r="E265" s="212"/>
      <ns0:c r="F265" s="212"/>
      <ns0:c r="G265" s="212"/>
      <ns0:c r="H265" s="212"/>
      <ns0:c r="I265" s="212"/>
      <ns0:c r="J265" s="212"/>
      <ns0:c r="K265" s="212"/>
      <ns0:c r="L265" s="212"/>
      <ns0:c r="M265" s="212"/>
      <ns0:c r="N265" s="79"/>
      <ns0:c r="O265" s="79"/>
      <ns0:c r="P265" s="80" t="s">
        <ns0:v>24</ns0:v>
      </ns0:c>
      <ns0:c r="Q265" s="79"/>
      <ns0:c r="R265" s="79"/>
      <ns0:c r="S265" s="213">
        <ns0:f>S241</ns0:f>
        <ns0:v>46116</ns0:v>
      </ns0:c>
      <ns0:c r="T265" s="214"/>
    </ns0:row>
    <ns0:row r="266" spans="1:20" ht="29.25" customHeight="1" thickTop="1" ns3:dyDescent="0.25">
      <ns0:c r="A266" s="196" t="s">
        <ns0:v>38</ns0:v>
      </ns0:c>
      <ns0:c r="B266" s="196"/>
      <ns0:c r="C266" s="110" t="s">
        <ns0:v>88</ns0:v>
      </ns0:c>
      <ns0:c r="D266" s="110"/>
      <ns0:c r="E266" s="110"/>
      <ns0:c r="F266" s="110"/>
      <ns0:c r="G266" s="110"/>
      <ns0:c r="H266" s="110"/>
      <ns0:c r="I266" s="110"/>
      <ns0:c r="J266" s="110"/>
      <ns0:c r="K266" s="110"/>
      <ns0:c r="L266" s="110"/>
      <ns0:c r="M266" s="110"/>
      <ns0:c r="N266" s="110"/>
      <ns0:c r="O266" s="110"/>
      <ns0:c r="P266" s="110"/>
      <ns0:c r="Q266" s="110"/>
      <ns0:c r="R266" s="110"/>
      <ns0:c r="S266" s="110"/>
      <ns0:c r="T266" s="110"/>
    </ns0:row>
    <ns0:row r="267" spans="1:20" ht="20.100000000000001" customHeight="1" ns3:dyDescent="0.25">
      <ns0:c r="A267" s="81"/>
      <ns0:c r="B267" s="81"/>
      <ns0:c r="C267" s="82"/>
      <ns0:c r="D267" s="82"/>
      <ns0:c r="E267" s="82"/>
      <ns0:c r="F267" s="82"/>
      <ns0:c r="G267" s="82"/>
      <ns0:c r="H267" s="82"/>
      <ns0:c r="I267" s="82"/>
      <ns0:c r="J267" s="82"/>
      <ns0:c r="K267" s="82"/>
      <ns0:c r="L267" s="82"/>
      <ns0:c r="M267" s="82"/>
      <ns0:c r="N267" s="82"/>
      <ns0:c r="O267" s="82"/>
      <ns0:c r="P267" s="82"/>
      <ns0:c r="Q267" s="82"/>
      <ns0:c r="R267" s="82"/>
      <ns0:c r="S267" s="82"/>
      <ns0:c r="T267" s="82"/>
    </ns0:row>
    <ns0:row r="268" spans="1:20" ht="20.100000000000001" customHeight="1" ns3:dyDescent="0.25">
      <ns0:c r="A268" s="196"/>
      <ns0:c r="B268" s="196"/>
      <ns0:c r="C268" s="82"/>
      <ns0:c r="D268" s="82"/>
      <ns0:c r="E268" s="82"/>
      <ns0:c r="F268" s="82"/>
      <ns0:c r="G268" s="82"/>
      <ns0:c r="H268" s="82"/>
      <ns0:c r="I268" s="82"/>
      <ns0:c r="J268" s="82"/>
      <ns0:c r="K268" s="82"/>
      <ns0:c r="L268" s="82"/>
      <ns0:c r="M268" s="82"/>
      <ns0:c r="N268" s="82"/>
      <ns0:c r="O268" s="82"/>
      <ns0:c r="P268" s="82"/>
      <ns0:c r="Q268" s="82"/>
      <ns0:c r="R268" s="82"/>
      <ns0:c r="S268" s="82"/>
      <ns0:c r="T268" s="82"/>
    </ns0:row>
    <ns0:row r="269" spans="1:20" ht="20.100000000000001" customHeight="1" ns3:dyDescent="0.25">
      <ns0:c r="A269" s="195" t="s">
        <ns0:v>38</ns0:v>
      </ns0:c>
      <ns0:c r="B269" s="195"/>
      <ns0:c r="C269" s="82" t="s">
        <ns0:v>91</ns0:v>
      </ns0:c>
      <ns0:c r="D269" s="82"/>
      <ns0:c r="E269" s="82"/>
      <ns0:c r="F269" s="82"/>
      <ns0:c r="G269" s="82"/>
      <ns0:c r="H269" s="82"/>
      <ns0:c r="I269" s="82"/>
      <ns0:c r="J269" s="82"/>
      <ns0:c r="K269" s="82"/>
      <ns0:c r="L269" s="82"/>
      <ns0:c r="M269" s="82"/>
      <ns0:c r="N269" s="82"/>
      <ns0:c r="O269" s="82"/>
      <ns0:c r="P269" s="82"/>
      <ns0:c r="Q269" s="82"/>
      <ns0:c r="R269" s="82"/>
      <ns0:c r="S269" s="82"/>
      <ns0:c r="T269" s="82"/>
    </ns0:row>
    <ns0:row r="270" spans="1:20" ht="20.100000000000001" customHeight="1" ns3:dyDescent="0.25">
      <ns0:c r="A270" s="195" t="s">
        <ns0:v>98</ns0:v>
      </ns0:c>
      <ns0:c r="B270" s="195"/>
      <ns0:c r="C270" s="82" t="s">
        <ns0:v>99</ns0:v>
      </ns0:c>
      <ns0:c r="D270" s="82"/>
      <ns0:c r="E270" s="82"/>
      <ns0:c r="F270" s="82"/>
      <ns0:c r="G270" s="82"/>
      <ns0:c r="H270" s="82"/>
      <ns0:c r="I270" s="82"/>
      <ns0:c r="J270" s="82"/>
      <ns0:c r="K270" s="82"/>
      <ns0:c r="L270" s="82"/>
      <ns0:c r="M270" s="82"/>
      <ns0:c r="N270" s="82"/>
      <ns0:c r="O270" s="82"/>
      <ns0:c r="P270" s="82"/>
      <ns0:c r="Q270" s="82"/>
      <ns0:c r="R270" s="82"/>
      <ns0:c r="S270" s="82"/>
      <ns0:c r="T270" s="82"/>
    </ns0:row>
    <ns0:row r="271" spans="1:20" ht="20.100000000000001" customHeight="1" ns3:dyDescent="0.25">
      <ns0:c r="A271" s="195" t="s">
        <ns0:v>98</ns0:v>
      </ns0:c>
      <ns0:c r="B271" s="195"/>
      <ns0:c r="C271" s="82" t="s">
        <ns0:v>101</ns0:v>
      </ns0:c>
      <ns0:c r="D271" s="82"/>
      <ns0:c r="E271" s="82"/>
      <ns0:c r="F271" s="82"/>
      <ns0:c r="G271" s="82"/>
      <ns0:c r="H271" s="82"/>
      <ns0:c r="I271" s="82"/>
      <ns0:c r="J271" s="82"/>
      <ns0:c r="K271" s="82"/>
      <ns0:c r="L271" s="82"/>
      <ns0:c r="M271" s="82"/>
      <ns0:c r="N271" s="82"/>
      <ns0:c r="O271" s="82"/>
      <ns0:c r="P271" s="82"/>
      <ns0:c r="Q271" s="82"/>
      <ns0:c r="R271" s="82"/>
      <ns0:c r="S271" s="82"/>
      <ns0:c r="T271" s="82"/>
    </ns0:row>
    <ns0:row r="272" spans="1:20" ht="20.100000000000001" customHeight="1" ns3:dyDescent="0.25">
      <ns0:c r="A272" s="195" t="s">
        <ns0:v>31</ns0:v>
      </ns0:c>
      <ns0:c r="B272" s="195"/>
      <ns0:c r="C272" s="82" t="s">
        <ns0:v>84</ns0:v>
      </ns0:c>
      <ns0:c r="D272" s="82"/>
      <ns0:c r="E272" s="82"/>
      <ns0:c r="F272" s="82"/>
      <ns0:c r="G272" s="82"/>
      <ns0:c r="H272" s="82"/>
      <ns0:c r="I272" s="82"/>
      <ns0:c r="J272" s="82"/>
      <ns0:c r="K272" s="82"/>
      <ns0:c r="L272" s="82"/>
      <ns0:c r="M272" s="82"/>
      <ns0:c r="N272" s="82"/>
      <ns0:c r="O272" s="82"/>
      <ns0:c r="P272" s="82"/>
      <ns0:c r="Q272" s="82"/>
      <ns0:c r="R272" s="82"/>
      <ns0:c r="S272" s="82"/>
      <ns0:c r="T272" s="82"/>
    </ns0:row>
    <ns0:row r="273" spans="1:20" ht="20.100000000000001" customHeight="1" ns3:dyDescent="0.25">
      <ns0:c r="A273" s="59"/>
      <ns0:c r="B273" s="59"/>
      <ns0:c r="C273" s="82"/>
      <ns0:c r="D273" s="82"/>
      <ns0:c r="E273" s="82"/>
      <ns0:c r="F273" s="82"/>
      <ns0:c r="G273" s="82"/>
      <ns0:c r="H273" s="82"/>
      <ns0:c r="I273" s="82"/>
      <ns0:c r="J273" s="82"/>
      <ns0:c r="K273" s="82"/>
      <ns0:c r="L273" s="82"/>
      <ns0:c r="M273" s="82"/>
      <ns0:c r="N273" s="82"/>
      <ns0:c r="O273" s="82"/>
      <ns0:c r="P273" s="82"/>
      <ns0:c r="Q273" s="82"/>
      <ns0:c r="R273" s="82"/>
      <ns0:c r="S273" s="82"/>
      <ns0:c r="T273" s="82"/>
    </ns0:row>
    <ns0:row r="274" spans="1:20" ht="20.100000000000001" customHeight="1" ns3:dyDescent="0.25">
      <ns0:c r="A274" s="59"/>
      <ns0:c r="B274" s="59"/>
      <ns0:c r="C274" s="82"/>
      <ns0:c r="D274" s="82"/>
      <ns0:c r="E274" s="82"/>
      <ns0:c r="F274" s="82"/>
      <ns0:c r="G274" s="82"/>
      <ns0:c r="H274" s="82"/>
      <ns0:c r="I274" s="82"/>
      <ns0:c r="J274" s="82"/>
      <ns0:c r="K274" s="82"/>
      <ns0:c r="L274" s="82"/>
      <ns0:c r="M274" s="82"/>
      <ns0:c r="N274" s="82"/>
      <ns0:c r="O274" s="82"/>
      <ns0:c r="P274" s="82"/>
      <ns0:c r="Q274" s="82"/>
      <ns0:c r="R274" s="82"/>
      <ns0:c r="S274" s="82"/>
      <ns0:c r="T274" s="82"/>
    </ns0:row>
    <ns0:row r="275" spans="1:20" ht="20.100000000000001" customHeight="1" ns3:dyDescent="0.25">
      <ns0:c r="A275" s="195"/>
      <ns0:c r="B275" s="195"/>
      <ns0:c r="C275" s="82"/>
      <ns0:c r="D275" s="82"/>
      <ns0:c r="E275" s="82"/>
      <ns0:c r="F275" s="82"/>
      <ns0:c r="G275" s="82"/>
      <ns0:c r="H275" s="82"/>
      <ns0:c r="I275" s="82"/>
      <ns0:c r="J275" s="82"/>
      <ns0:c r="K275" s="82"/>
      <ns0:c r="L275" s="82"/>
      <ns0:c r="M275" s="82"/>
      <ns0:c r="N275" s="82"/>
      <ns0:c r="O275" s="82"/>
      <ns0:c r="P275" s="82"/>
      <ns0:c r="Q275" s="82"/>
      <ns0:c r="R275" s="82"/>
      <ns0:c r="S275" s="82"/>
      <ns0:c r="T275" s="82"/>
    </ns0:row>
    <ns0:row r="276" spans="1:20" ht="20.100000000000001" customHeight="1" ns3:dyDescent="0.25">
      <ns0:c r="A276" s="195" t="s">
        <ns0:v>39</ns0:v>
      </ns0:c>
      <ns0:c r="B276" s="195"/>
      <ns0:c r="C276" s="110" t="s">
        <ns0:v>86</ns0:v>
      </ns0:c>
      <ns0:c r="D276" s="110"/>
      <ns0:c r="E276" s="110"/>
      <ns0:c r="F276" s="110"/>
      <ns0:c r="G276" s="110"/>
      <ns0:c r="H276" s="110"/>
      <ns0:c r="I276" s="110"/>
      <ns0:c r="J276" s="110"/>
      <ns0:c r="K276" s="110"/>
      <ns0:c r="L276" s="110"/>
      <ns0:c r="M276" s="110"/>
      <ns0:c r="N276" s="110"/>
      <ns0:c r="O276" s="110"/>
      <ns0:c r="P276" s="110"/>
      <ns0:c r="Q276" s="110"/>
      <ns0:c r="R276" s="110"/>
      <ns0:c r="S276" s="110"/>
      <ns0:c r="T276" s="110"/>
    </ns0:row>
    <ns0:row r="277" spans="1:20" ht="20.100000000000001" customHeight="1" ns3:dyDescent="0.25">
      <ns0:c r="A277" s="59" t="s">
        <ns0:v>39</ns0:v>
      </ns0:c>
      <ns0:c r="B277" s="59"/>
      <ns0:c r="C277" s="82"/>
      <ns0:c r="D277" s="82"/>
      <ns0:c r="E277" s="82"/>
      <ns0:c r="F277" s="82"/>
      <ns0:c r="G277" s="82"/>
      <ns0:c r="H277" s="82"/>
      <ns0:c r="I277" s="82"/>
      <ns0:c r="J277" s="82"/>
      <ns0:c r="K277" s="82"/>
      <ns0:c r="L277" s="82"/>
      <ns0:c r="M277" s="82"/>
      <ns0:c r="N277" s="82"/>
      <ns0:c r="O277" s="82"/>
      <ns0:c r="P277" s="82"/>
      <ns0:c r="Q277" s="82"/>
      <ns0:c r="R277" s="82"/>
      <ns0:c r="S277" s="82"/>
      <ns0:c r="T277" s="82"/>
    </ns0:row>
    <ns0:row r="278" spans="1:20" ht="20.100000000000001" customHeight="1" ns3:dyDescent="0.25">
      <ns0:c r="A278" s="195"/>
      <ns0:c r="B278" s="195"/>
      <ns0:c r="C278" s="82"/>
      <ns0:c r="D278" s="82"/>
      <ns0:c r="E278" s="82"/>
      <ns0:c r="F278" s="82"/>
      <ns0:c r="G278" s="82"/>
      <ns0:c r="H278" s="82"/>
      <ns0:c r="I278" s="82"/>
      <ns0:c r="J278" s="82"/>
      <ns0:c r="K278" s="82"/>
      <ns0:c r="L278" s="82"/>
      <ns0:c r="M278" s="82"/>
      <ns0:c r="N278" s="82"/>
      <ns0:c r="O278" s="82"/>
      <ns0:c r="P278" s="82"/>
      <ns0:c r="Q278" s="82"/>
      <ns0:c r="R278" s="82"/>
      <ns0:c r="S278" s="82"/>
      <ns0:c r="T278" s="82"/>
    </ns0:row>
    <ns0:row r="279" spans="1:20" ht="20.100000000000001" customHeight="1" ns3:dyDescent="0.25">
      <ns0:c r="A279" s="195"/>
      <ns0:c r="B279" s="195"/>
      <ns0:c r="C279" s="83"/>
      <ns0:c r="D279" s="83"/>
      <ns0:c r="E279" s="83"/>
      <ns0:c r="F279" s="83"/>
      <ns0:c r="G279" s="83"/>
      <ns0:c r="H279" s="83"/>
      <ns0:c r="I279" s="83"/>
      <ns0:c r="J279" s="83"/>
      <ns0:c r="K279" s="83"/>
      <ns0:c r="L279" s="83"/>
      <ns0:c r="M279" s="83"/>
      <ns0:c r="N279" s="83"/>
      <ns0:c r="O279" s="83"/>
      <ns0:c r="P279" s="83"/>
      <ns0:c r="Q279" s="83"/>
      <ns0:c r="R279" s="83"/>
      <ns0:c r="S279" s="83"/>
      <ns0:c r="T279" s="83"/>
    </ns0:row>
    <ns0:row r="280" spans="1:20" ht="20.100000000000001" customHeight="1" ns3:dyDescent="0.25">
      <ns0:c r="A280" s="59" t="s">
        <ns0:v>57</ns0:v>
      </ns0:c>
      <ns0:c r="B280" s="59"/>
      <ns0:c r="C280" s="83" t="s">
        <ns0:v>83</ns0:v>
      </ns0:c>
      <ns0:c r="D280" s="83"/>
      <ns0:c r="E280" s="83"/>
      <ns0:c r="F280" s="83"/>
      <ns0:c r="G280" s="83"/>
      <ns0:c r="H280" s="83"/>
      <ns0:c r="I280" s="83"/>
      <ns0:c r="J280" s="83"/>
      <ns0:c r="K280" s="83"/>
      <ns0:c r="L280" s="83"/>
      <ns0:c r="M280" s="83"/>
      <ns0:c r="N280" s="83"/>
      <ns0:c r="O280" s="83"/>
      <ns0:c r="P280" s="83"/>
      <ns0:c r="Q280" s="83"/>
      <ns0:c r="R280" s="83"/>
      <ns0:c r="S280" s="83"/>
      <ns0:c r="T280" s="83"/>
    </ns0:row>
    <ns0:row r="281" spans="1:20" ht="20.100000000000001" customHeight="1" ns3:dyDescent="0.25">
      <ns0:c r="A281" s="59" t="s">
        <ns0:v>57</ns0:v>
      </ns0:c>
      <ns0:c r="B281" s="59"/>
      <ns0:c r="C281" s="83" t="s">
        <ns0:v>100</ns0:v>
      </ns0:c>
      <ns0:c r="D281" s="83"/>
      <ns0:c r="E281" s="83"/>
      <ns0:c r="F281" s="83"/>
      <ns0:c r="G281" s="83"/>
      <ns0:c r="H281" s="83"/>
      <ns0:c r="I281" s="83"/>
      <ns0:c r="J281" s="83"/>
      <ns0:c r="K281" s="83"/>
      <ns0:c r="L281" s="83"/>
      <ns0:c r="M281" s="83"/>
      <ns0:c r="N281" s="83"/>
      <ns0:c r="O281" s="83"/>
      <ns0:c r="P281" s="83"/>
      <ns0:c r="Q281" s="83"/>
      <ns0:c r="R281" s="83"/>
      <ns0:c r="S281" s="83"/>
      <ns0:c r="T281" s="83"/>
    </ns0:row>
    <ns0:row r="282" spans="1:20" ht="20.100000000000001" customHeight="1" ns3:dyDescent="0.25">
      <ns0:c r="A282" s="59" t="s">
        <ns0:v>57</ns0:v>
      </ns0:c>
      <ns0:c r="B282" s="59"/>
      <ns0:c r="C282" s="83" t="s">
        <ns0:v>85</ns0:v>
      </ns0:c>
      <ns0:c r="D282" s="83"/>
      <ns0:c r="E282" s="83"/>
      <ns0:c r="F282" s="83"/>
      <ns0:c r="G282" s="83"/>
      <ns0:c r="H282" s="83"/>
      <ns0:c r="I282" s="83"/>
      <ns0:c r="J282" s="83"/>
      <ns0:c r="K282" s="83"/>
      <ns0:c r="L282" s="83"/>
      <ns0:c r="M282" s="83"/>
      <ns0:c r="N282" s="83"/>
      <ns0:c r="O282" s="83"/>
      <ns0:c r="P282" s="83"/>
      <ns0:c r="Q282" s="83"/>
      <ns0:c r="R282" s="83"/>
      <ns0:c r="S282" s="83"/>
      <ns0:c r="T282" s="83"/>
    </ns0:row>
    <ns0:row r="283" spans="1:20" ht="20.100000000000001" customHeight="1" ns3:dyDescent="0.25">
      <ns0:c r="A283" s="59" t="s">
        <ns0:v>57</ns0:v>
      </ns0:c>
      <ns0:c r="B283" s="59"/>
      <ns0:c r="C283" s="83" t="s">
        <ns0:v>87</ns0:v>
      </ns0:c>
      <ns0:c r="D283" s="83"/>
      <ns0:c r="E283" s="83"/>
      <ns0:c r="F283" s="83"/>
      <ns0:c r="G283" s="83"/>
      <ns0:c r="H283" s="83"/>
      <ns0:c r="I283" s="83"/>
      <ns0:c r="J283" s="83"/>
      <ns0:c r="K283" s="83"/>
      <ns0:c r="L283" s="83"/>
      <ns0:c r="M283" s="83"/>
      <ns0:c r="N283" s="83"/>
      <ns0:c r="O283" s="83"/>
      <ns0:c r="P283" s="83"/>
      <ns0:c r="Q283" s="83"/>
      <ns0:c r="R283" s="83"/>
      <ns0:c r="S283" s="83"/>
      <ns0:c r="T283" s="83"/>
    </ns0:row>
    <ns0:row r="284" spans="1:20" ht="20.100000000000001" customHeight="1" ns3:dyDescent="0.25">
      <ns0:c r="A284" s="195" t="s">
        <ns0:v>40</ns0:v>
      </ns0:c>
      <ns0:c r="B284" s="195"/>
      <ns0:c r="C284" s="83"/>
      <ns0:c r="D284" s="83"/>
      <ns0:c r="E284" s="83"/>
      <ns0:c r="F284" s="83"/>
      <ns0:c r="G284" s="83"/>
      <ns0:c r="H284" s="83"/>
      <ns0:c r="I284" s="83"/>
      <ns0:c r="J284" s="83"/>
      <ns0:c r="K284" s="83"/>
      <ns0:c r="L284" s="83"/>
      <ns0:c r="M284" s="83"/>
      <ns0:c r="N284" s="83"/>
      <ns0:c r="O284" s="83"/>
      <ns0:c r="P284" s="83"/>
      <ns0:c r="Q284" s="83"/>
      <ns0:c r="R284" s="83"/>
      <ns0:c r="S284" s="83"/>
      <ns0:c r="T284" s="83"/>
    </ns0:row>
    <ns0:row r="285" spans="1:20" ht="20.100000000000001" customHeight="1" ns3:dyDescent="0.25">
      <ns0:c r="A285" s="195" t="s">
        <ns0:v>57</ns0:v>
      </ns0:c>
      <ns0:c r="B285" s="195"/>
      <ns0:c r="C285" s="82"/>
      <ns0:c r="D285" s="82"/>
      <ns0:c r="E285" s="82"/>
      <ns0:c r="F285" s="82"/>
      <ns0:c r="G285" s="82"/>
      <ns0:c r="H285" s="82"/>
      <ns0:c r="I285" s="82"/>
      <ns0:c r="J285" s="82"/>
      <ns0:c r="K285" s="82"/>
      <ns0:c r="L285" s="82"/>
      <ns0:c r="M285" s="82"/>
      <ns0:c r="N285" s="82"/>
      <ns0:c r="O285" s="82"/>
      <ns0:c r="P285" s="82"/>
      <ns0:c r="Q285" s="82"/>
      <ns0:c r="R285" s="82"/>
      <ns0:c r="S285" s="82"/>
      <ns0:c r="T285" s="82"/>
    </ns0:row>
    <ns0:row r="286" spans="1:20" ht="20.100000000000001" customHeight="1" ns3:dyDescent="0.25">
      <ns0:c r="A286" s="59" t="s">
        <ns0:v>57</ns0:v>
      </ns0:c>
      <ns0:c r="B286" s="59"/>
      <ns0:c r="C286" s="82"/>
      <ns0:c r="D286" s="82"/>
      <ns0:c r="E286" s="82"/>
      <ns0:c r="F286" s="82"/>
      <ns0:c r="G286" s="82"/>
      <ns0:c r="H286" s="82"/>
      <ns0:c r="I286" s="82"/>
      <ns0:c r="J286" s="82"/>
      <ns0:c r="K286" s="82"/>
      <ns0:c r="L286" s="82"/>
      <ns0:c r="M286" s="82"/>
      <ns0:c r="N286" s="82"/>
      <ns0:c r="O286" s="82"/>
      <ns0:c r="P286" s="82"/>
      <ns0:c r="Q286" s="82"/>
      <ns0:c r="R286" s="82"/>
      <ns0:c r="S286" s="82"/>
      <ns0:c r="T286" s="82"/>
    </ns0:row>
    <ns0:row r="287" spans="1:20" ht="20.100000000000001" customHeight="1" ns3:dyDescent="0.25">
      <ns0:c r="A287" s="195"/>
      <ns0:c r="B287" s="195"/>
      <ns0:c r="C287" s="82"/>
      <ns0:c r="D287" s="82"/>
      <ns0:c r="E287" s="82"/>
      <ns0:c r="F287" s="82"/>
      <ns0:c r="G287" s="82"/>
      <ns0:c r="H287" s="82"/>
      <ns0:c r="I287" s="82"/>
      <ns0:c r="J287" s="82"/>
      <ns0:c r="K287" s="82"/>
      <ns0:c r="L287" s="82"/>
      <ns0:c r="M287" s="82"/>
      <ns0:c r="N287" s="82"/>
      <ns0:c r="O287" s="82"/>
      <ns0:c r="P287" s="82"/>
      <ns0:c r="Q287" s="82"/>
      <ns0:c r="R287" s="82"/>
      <ns0:c r="S287" s="82"/>
      <ns0:c r="T287" s="82"/>
    </ns0:row>
    <ns0:row r="288" spans="1:20" ht="20.100000000000001" customHeight="1" ns3:dyDescent="0.25">
      <ns0:c r="A288" s="59"/>
      <ns0:c r="B288" s="59"/>
      <ns0:c r="C288" s="82"/>
      <ns0:c r="D288" s="82"/>
      <ns0:c r="E288" s="82"/>
      <ns0:c r="F288" s="82"/>
      <ns0:c r="G288" s="82"/>
      <ns0:c r="H288" s="82"/>
      <ns0:c r="I288" s="82"/>
      <ns0:c r="J288" s="82"/>
      <ns0:c r="K288" s="82"/>
      <ns0:c r="L288" s="82"/>
      <ns0:c r="M288" s="82"/>
      <ns0:c r="N288" s="82"/>
      <ns0:c r="O288" s="82"/>
      <ns0:c r="P288" s="82"/>
      <ns0:c r="Q288" s="82"/>
      <ns0:c r="R288" s="82"/>
      <ns0:c r="S288" s="82"/>
      <ns0:c r="T288" s="82"/>
    </ns0:row>
    <ns0:row r="289" spans="1:20" ht="20.100000000000001" customHeight="1" ns3:dyDescent="0.25">
      <ns0:c r="A289" s="59" t="s">
        <ns0:v>41</ns0:v>
      </ns0:c>
      <ns0:c r="B289" s="59"/>
      <ns0:c r="C289" s="82" t="s">
        <ns0:v>102</ns0:v>
      </ns0:c>
      <ns0:c r="D289" s="82"/>
      <ns0:c r="E289" s="82"/>
      <ns0:c r="F289" s="82"/>
      <ns0:c r="G289" s="82"/>
      <ns0:c r="H289" s="82"/>
      <ns0:c r="I289" s="82"/>
      <ns0:c r="J289" s="82"/>
      <ns0:c r="K289" s="82"/>
      <ns0:c r="L289" s="82"/>
      <ns0:c r="M289" s="82"/>
      <ns0:c r="N289" s="82"/>
      <ns0:c r="O289" s="82"/>
      <ns0:c r="P289" s="82"/>
      <ns0:c r="Q289" s="82"/>
      <ns0:c r="R289" s="82"/>
      <ns0:c r="S289" s="82"/>
      <ns0:c r="T289" s="82"/>
    </ns0:row>
    <ns0:row r="290" spans="1:20" ht="20.100000000000001" customHeight="1" ns3:dyDescent="0.25">
      <ns0:c r="A290" s="59" t="s">
        <ns0:v>41</ns0:v>
      </ns0:c>
      <ns0:c r="B290" s="59"/>
      <ns0:c r="C290" s="82" t="s">
        <ns0:v>104</ns0:v>
      </ns0:c>
      <ns0:c r="D290" s="82"/>
      <ns0:c r="E290" s="82"/>
      <ns0:c r="F290" s="82"/>
      <ns0:c r="G290" s="82"/>
      <ns0:c r="H290" s="82"/>
      <ns0:c r="I290" s="82"/>
      <ns0:c r="J290" s="82"/>
      <ns0:c r="K290" s="82"/>
      <ns0:c r="L290" s="82"/>
      <ns0:c r="M290" s="82"/>
      <ns0:c r="N290" s="82"/>
      <ns0:c r="O290" s="82"/>
      <ns0:c r="P290" s="82"/>
      <ns0:c r="Q290" s="82"/>
      <ns0:c r="R290" s="82"/>
      <ns0:c r="S290" s="82"/>
      <ns0:c r="T290" s="82"/>
    </ns0:row>
    <ns0:row r="291" spans="1:20" ht="20.100000000000001" customHeight="1" ns3:dyDescent="0.25">
      <ns0:c r="A291" s="195" t="s">
        <ns0:v>41</ns0:v>
      </ns0:c>
      <ns0:c r="B291" s="195"/>
      <ns0:c r="C291" s="82" t="s">
        <ns0:v>80</ns0:v>
      </ns0:c>
      <ns0:c r="D291" s="82"/>
      <ns0:c r="E291" s="82"/>
      <ns0:c r="F291" s="82"/>
      <ns0:c r="G291" s="82"/>
      <ns0:c r="H291" s="82"/>
      <ns0:c r="I291" s="82"/>
      <ns0:c r="J291" s="82"/>
      <ns0:c r="K291" s="82"/>
      <ns0:c r="L291" s="82"/>
      <ns0:c r="M291" s="82"/>
      <ns0:c r="N291" s="82"/>
      <ns0:c r="O291" s="82"/>
      <ns0:c r="P291" s="82"/>
      <ns0:c r="Q291" s="82"/>
      <ns0:c r="R291" s="82"/>
      <ns0:c r="S291" s="82"/>
      <ns0:c r="T291" s="82"/>
    </ns0:row>
    <ns0:row r="292" spans="1:20" ns3:dyDescent="0.25">
      <ns0:c r="B292" s="56"/>
      <ns0:c r="C292" s="59"/>
      <ns0:c r="D292" s="59"/>
      <ns0:c r="E292" s="59"/>
      <ns0:c r="F292" s="59"/>
      <ns0:c r="G292" s="59"/>
      <ns0:c r="H292" s="59"/>
      <ns0:c r="I292" s="59"/>
      <ns0:c r="J292" s="59"/>
      <ns0:c r="K292" s="59"/>
      <ns0:c r="L292" s="59"/>
      <ns0:c r="M292" s="59"/>
      <ns0:c r="N292" s="59"/>
      <ns0:c r="O292" s="59"/>
      <ns0:c r="P292" s="59"/>
      <ns0:c r="Q292" s="59"/>
      <ns0:c r="R292" s="59"/>
      <ns0:c r="S292" s="59"/>
      <ns0:c r="T292" s="59"/>
    </ns0:row>
    <ns0:row r="331" ht="2.25" customHeight="1" ns3:dyDescent="0.25"/>
    <ns0:row r="335" ht="2.25" customHeight="1" ns3:dyDescent="0.25"/>
  </ns0:sheetData>
  <ns0:sheetProtection sheet="1" objects="1" scenarios="1" formatCells="0"/>
  <ns0:mergeCells count="2066">
    <ns0:mergeCell ref="A74:C75"/>
    <ns0:mergeCell ref="A39:C40"/>
    <ns0:mergeCell ref="A4:C5"/>
    <ns0:mergeCell ref="C273:T273"/>
    <ns0:mergeCell ref="C267:T267"/>
    <ns0:mergeCell ref="C277:T277"/>
    <ns0:mergeCell ref="C286:T286"/>
    <ns0:mergeCell ref="A265:M265"/>
    <ns0:mergeCell ref="S265:T265"/>
    <ns0:mergeCell ref="A242:C242"/>
    <ns0:mergeCell ref="A214:C215"/>
    <ns0:mergeCell ref="A179:C180"/>
    <ns0:mergeCell ref="A144:C145"/>
    <ns0:mergeCell ref="A109:C110"/>
    <ns0:mergeCell ref="D263:E263"/>
    <ns0:mergeCell ref="F263:G263"/>
    <ns0:mergeCell ref="H263:I263"/>
    <ns0:mergeCell ref="J263:K263"/>
    <ns0:mergeCell ref="L263:M263"/>
    <ns0:mergeCell ref="N263:O263"/>
    <ns0:mergeCell ref="P263:Q263"/>
    <ns0:mergeCell ref="S254:T254"/>
    <ns0:mergeCell ref="S255:T255"/>
    <ns0:mergeCell ref="S256:T256"/>
    <ns0:mergeCell ref="S257:T257"/>
    <ns0:mergeCell ref="S258:T258"/>
    <ns0:mergeCell ref="S259:T259"/>
    <ns0:mergeCell ref="S260:T260"/>
    <ns0:mergeCell ref="S261:T261"/>
    <ns0:mergeCell ref="S262:T262"/>
    <ns0:mergeCell ref="S263:T263"/>
    <ns0:mergeCell ref="F260:G260"/>
    <ns0:mergeCell ref="L260:M260"/>
    <ns0:mergeCell ref="N260:O260"/>
    <ns0:mergeCell ref="P260:Q260"/>
    <ns0:mergeCell ref="D261:E261"/>
    <ns0:mergeCell ref="F261:G261"/>
    <ns0:mergeCell ref="H261:I261"/>
    <ns0:mergeCell ref="J261:K261"/>
    <ns0:mergeCell ref="L261:M261"/>
    <ns0:mergeCell ref="N261:O261"/>
    <ns0:mergeCell ref="P261:Q261"/>
    <ns0:mergeCell ref="D262:E262"/>
    <ns0:mergeCell ref="F262:G262"/>
    <ns0:mergeCell ref="H262:I262"/>
    <ns0:mergeCell ref="J262:K262"/>
    <ns0:mergeCell ref="L262:M262"/>
    <ns0:mergeCell ref="N262:O262"/>
    <ns0:mergeCell ref="P262:Q262"/>
    <ns0:mergeCell ref="L257:M257"/>
    <ns0:mergeCell ref="N257:O257"/>
    <ns0:mergeCell ref="P257:Q257"/>
    <ns0:mergeCell ref="D258:E258"/>
    <ns0:mergeCell ref="F258:G258"/>
    <ns0:mergeCell ref="H258:I258"/>
    <ns0:mergeCell ref="J258:K258"/>
    <ns0:mergeCell ref="L258:M258"/>
    <ns0:mergeCell ref="N258:O258"/>
    <ns0:mergeCell ref="P258:Q258"/>
    <ns0:mergeCell ref="D259:E259"/>
    <ns0:mergeCell ref="F259:G259"/>
    <ns0:mergeCell ref="H259:I259"/>
    <ns0:mergeCell ref="J259:K259"/>
    <ns0:mergeCell ref="L259:M259"/>
    <ns0:mergeCell ref="N259:O259"/>
    <ns0:mergeCell ref="P259:Q259"/>
    <ns0:mergeCell ref="L254:M254"/>
    <ns0:mergeCell ref="N254:O254"/>
    <ns0:mergeCell ref="P254:Q254"/>
    <ns0:mergeCell ref="D255:E255"/>
    <ns0:mergeCell ref="F255:G255"/>
    <ns0:mergeCell ref="H255:I255"/>
    <ns0:mergeCell ref="J255:K255"/>
    <ns0:mergeCell ref="L255:M255"/>
    <ns0:mergeCell ref="N255:O255"/>
    <ns0:mergeCell ref="P255:Q255"/>
    <ns0:mergeCell ref="D256:E256"/>
    <ns0:mergeCell ref="F256:G256"/>
    <ns0:mergeCell ref="H256:I256"/>
    <ns0:mergeCell ref="J256:K256"/>
    <ns0:mergeCell ref="L256:M256"/>
    <ns0:mergeCell ref="N256:O256"/>
    <ns0:mergeCell ref="P256:Q256"/>
    <ns0:mergeCell ref="J264:K264"/>
    <ns0:mergeCell ref="H264:I264"/>
    <ns0:mergeCell ref="F264:G264"/>
    <ns0:mergeCell ref="A254:B254"/>
    <ns0:mergeCell ref="A255:B255"/>
    <ns0:mergeCell ref="A256:B256"/>
    <ns0:mergeCell ref="A257:B257"/>
    <ns0:mergeCell ref="A258:B258"/>
    <ns0:mergeCell ref="A259:B259"/>
    <ns0:mergeCell ref="A260:B260"/>
    <ns0:mergeCell ref="A261:B261"/>
    <ns0:mergeCell ref="A262:B262"/>
    <ns0:mergeCell ref="A263:B263"/>
    <ns0:mergeCell ref="D254:E254"/>
    <ns0:mergeCell ref="F254:G254"/>
    <ns0:mergeCell ref="H254:I254"/>
    <ns0:mergeCell ref="J254:K254"/>
    <ns0:mergeCell ref="D257:E257"/>
    <ns0:mergeCell ref="F257:G257"/>
    <ns0:mergeCell ref="H257:I257"/>
    <ns0:mergeCell ref="J257:K257"/>
    <ns0:mergeCell ref="D260:E260"/>
    <ns0:mergeCell ref="A264:C264"/>
    <ns0:mergeCell ref="H260:I260"/>
    <ns0:mergeCell ref="J260:K260"/>
    <ns0:mergeCell ref="L264:M264"/>
    <ns0:mergeCell ref="N264:O264"/>
    <ns0:mergeCell ref="P264:Q264"/>
    <ns0:mergeCell ref="A235:C235"/>
    <ns0:mergeCell ref="D235:E235"/>
    <ns0:mergeCell ref="F235:G235"/>
    <ns0:mergeCell ref="H235:I235"/>
    <ns0:mergeCell ref="J235:K235"/>
    <ns0:mergeCell ref="L235:M235"/>
    <ns0:mergeCell ref="N235:O235"/>
    <ns0:mergeCell ref="P235:Q235"/>
    <ns0:mergeCell ref="L211:P211"/>
    <ns0:mergeCell ref="L212:P212"/>
    <ns0:mergeCell ref="S212:T212"/>
    <ns0:mergeCell ref="B213:D213"/>
    <ns0:mergeCell ref="E213:G213"/>
    <ns0:mergeCell ref="L213:P213"/>
    <ns0:mergeCell ref="Q213:T213"/>
    <ns0:mergeCell ref="D214:Q214"/>
    <ns0:mergeCell ref="D215:E215"/>
    <ns0:mergeCell ref="F215:G215"/>
    <ns0:mergeCell ref="H215:I215"/>
    <ns0:mergeCell ref="J215:K215"/>
    <ns0:mergeCell ref="L215:M215"/>
    <ns0:mergeCell ref="N215:O215"/>
    <ns0:mergeCell ref="P215:Q215"/>
    <ns0:mergeCell ref="R232:R234"/>
    <ns0:mergeCell ref="A233:B233"/>
    <ns0:mergeCell ref="D233:E233"/>
    <ns0:mergeCell ref="F233:G233"/>
    <ns0:mergeCell ref="H233:I233"/>
    <ns0:mergeCell ref="J233:K233"/>
    <ns0:mergeCell ref="L233:M233"/>
    <ns0:mergeCell ref="N233:O233"/>
    <ns0:mergeCell ref="P233:Q233"/>
    <ns0:mergeCell ref="A234:B234"/>
    <ns0:mergeCell ref="D234:E234"/>
    <ns0:mergeCell ref="F234:G234"/>
    <ns0:mergeCell ref="H234:I234"/>
    <ns0:mergeCell ref="J234:K234"/>
    <ns0:mergeCell ref="L234:M234"/>
    <ns0:mergeCell ref="N234:O234"/>
    <ns0:mergeCell ref="P234:Q234"/>
    <ns0:mergeCell ref="P230:Q230"/>
    <ns0:mergeCell ref="A231:B231"/>
    <ns0:mergeCell ref="D231:E231"/>
    <ns0:mergeCell ref="F231:G231"/>
    <ns0:mergeCell ref="H231:I231"/>
    <ns0:mergeCell ref="J231:K231"/>
    <ns0:mergeCell ref="L231:M231"/>
    <ns0:mergeCell ref="N231:O231"/>
    <ns0:mergeCell ref="P231:Q231"/>
    <ns0:mergeCell ref="A232:B232"/>
    <ns0:mergeCell ref="C232:C234"/>
    <ns0:mergeCell ref="D232:E232"/>
    <ns0:mergeCell ref="F232:G232"/>
    <ns0:mergeCell ref="H232:I232"/>
    <ns0:mergeCell ref="J232:K232"/>
    <ns0:mergeCell ref="L232:M232"/>
    <ns0:mergeCell ref="N232:O232"/>
    <ns0:mergeCell ref="P232:Q232"/>
    <ns0:mergeCell ref="R226:R228"/>
    <ns0:mergeCell ref="A227:B227"/>
    <ns0:mergeCell ref="D227:E227"/>
    <ns0:mergeCell ref="F227:G227"/>
    <ns0:mergeCell ref="H227:I227"/>
    <ns0:mergeCell ref="J227:K227"/>
    <ns0:mergeCell ref="L227:M227"/>
    <ns0:mergeCell ref="N227:O227"/>
    <ns0:mergeCell ref="P227:Q227"/>
    <ns0:mergeCell ref="D228:E228"/>
    <ns0:mergeCell ref="F228:G228"/>
    <ns0:mergeCell ref="H228:I228"/>
    <ns0:mergeCell ref="J228:K228"/>
    <ns0:mergeCell ref="L228:M228"/>
    <ns0:mergeCell ref="N228:O228"/>
    <ns0:mergeCell ref="P228:Q228"/>
    <ns0:mergeCell ref="C229:C231"/>
    <ns0:mergeCell ref="D229:E229"/>
    <ns0:mergeCell ref="F229:G229"/>
    <ns0:mergeCell ref="H229:I229"/>
    <ns0:mergeCell ref="J229:K229"/>
    <ns0:mergeCell ref="L229:M229"/>
    <ns0:mergeCell ref="N229:O229"/>
    <ns0:mergeCell ref="P229:Q229"/>
    <ns0:mergeCell ref="R229:R231"/>
    <ns0:mergeCell ref="A230:B230"/>
    <ns0:mergeCell ref="D230:E230"/>
    <ns0:mergeCell ref="F230:G230"/>
    <ns0:mergeCell ref="H230:I230"/>
    <ns0:mergeCell ref="J230:K230"/>
    <ns0:mergeCell ref="L230:M230"/>
    <ns0:mergeCell ref="N230:O230"/>
    <ns0:mergeCell ref="A225:C225"/>
    <ns0:mergeCell ref="D225:E225"/>
    <ns0:mergeCell ref="F225:G225"/>
    <ns0:mergeCell ref="H225:I225"/>
    <ns0:mergeCell ref="J225:K225"/>
    <ns0:mergeCell ref="L225:M225"/>
    <ns0:mergeCell ref="N225:O225"/>
    <ns0:mergeCell ref="P225:Q225"/>
    <ns0:mergeCell ref="A226:B226"/>
    <ns0:mergeCell ref="C226:C228"/>
    <ns0:mergeCell ref="D226:E226"/>
    <ns0:mergeCell ref="F226:G226"/>
    <ns0:mergeCell ref="H226:I226"/>
    <ns0:mergeCell ref="J226:K226"/>
    <ns0:mergeCell ref="L226:M226"/>
    <ns0:mergeCell ref="N226:O226"/>
    <ns0:mergeCell ref="P226:Q226"/>
    <ns0:mergeCell ref="A222:B222"/>
    <ns0:mergeCell ref="C222:C224"/>
    <ns0:mergeCell ref="D222:E222"/>
    <ns0:mergeCell ref="F222:G222"/>
    <ns0:mergeCell ref="H222:I222"/>
    <ns0:mergeCell ref="J222:K222"/>
    <ns0:mergeCell ref="L222:M222"/>
    <ns0:mergeCell ref="N222:O222"/>
    <ns0:mergeCell ref="P222:Q222"/>
    <ns0:mergeCell ref="R222:R224"/>
    <ns0:mergeCell ref="A223:B223"/>
    <ns0:mergeCell ref="D223:E223"/>
    <ns0:mergeCell ref="F223:G223"/>
    <ns0:mergeCell ref="H223:I223"/>
    <ns0:mergeCell ref="J223:K223"/>
    <ns0:mergeCell ref="L223:M223"/>
    <ns0:mergeCell ref="N223:O223"/>
    <ns0:mergeCell ref="P223:Q223"/>
    <ns0:mergeCell ref="A224:B224"/>
    <ns0:mergeCell ref="D224:E224"/>
    <ns0:mergeCell ref="F224:G224"/>
    <ns0:mergeCell ref="H224:I224"/>
    <ns0:mergeCell ref="J224:K224"/>
    <ns0:mergeCell ref="L224:M224"/>
    <ns0:mergeCell ref="N224:O224"/>
    <ns0:mergeCell ref="P224:Q224"/>
    <ns0:mergeCell ref="C219:C221"/>
    <ns0:mergeCell ref="D219:E219"/>
    <ns0:mergeCell ref="F219:G219"/>
    <ns0:mergeCell ref="H219:I219"/>
    <ns0:mergeCell ref="J219:K219"/>
    <ns0:mergeCell ref="L219:M219"/>
    <ns0:mergeCell ref="N219:O219"/>
    <ns0:mergeCell ref="P219:Q219"/>
    <ns0:mergeCell ref="R219:R221"/>
    <ns0:mergeCell ref="A220:B220"/>
    <ns0:mergeCell ref="D220:E220"/>
    <ns0:mergeCell ref="F220:G220"/>
    <ns0:mergeCell ref="H220:I220"/>
    <ns0:mergeCell ref="J220:K220"/>
    <ns0:mergeCell ref="L220:M220"/>
    <ns0:mergeCell ref="N220:O220"/>
    <ns0:mergeCell ref="P220:Q220"/>
    <ns0:mergeCell ref="A221:B221"/>
    <ns0:mergeCell ref="D221:E221"/>
    <ns0:mergeCell ref="F221:G221"/>
    <ns0:mergeCell ref="H221:I221"/>
    <ns0:mergeCell ref="J221:K221"/>
    <ns0:mergeCell ref="L221:M221"/>
    <ns0:mergeCell ref="N221:O221"/>
    <ns0:mergeCell ref="P221:Q221"/>
    <ns0:mergeCell ref="A216:B216"/>
    <ns0:mergeCell ref="C216:C218"/>
    <ns0:mergeCell ref="D216:E216"/>
    <ns0:mergeCell ref="F216:G216"/>
    <ns0:mergeCell ref="H216:I216"/>
    <ns0:mergeCell ref="J216:K216"/>
    <ns0:mergeCell ref="L216:M216"/>
    <ns0:mergeCell ref="N216:O216"/>
    <ns0:mergeCell ref="P216:Q216"/>
    <ns0:mergeCell ref="R216:R218"/>
    <ns0:mergeCell ref="A217:B217"/>
    <ns0:mergeCell ref="D217:E217"/>
    <ns0:mergeCell ref="F217:G217"/>
    <ns0:mergeCell ref="H217:I217"/>
    <ns0:mergeCell ref="J217:K217"/>
    <ns0:mergeCell ref="L217:M217"/>
    <ns0:mergeCell ref="N217:O217"/>
    <ns0:mergeCell ref="P217:Q217"/>
    <ns0:mergeCell ref="D218:E218"/>
    <ns0:mergeCell ref="F218:G218"/>
    <ns0:mergeCell ref="H218:I218"/>
    <ns0:mergeCell ref="J218:K218"/>
    <ns0:mergeCell ref="L218:M218"/>
    <ns0:mergeCell ref="N218:O218"/>
    <ns0:mergeCell ref="P218:Q218"/>
    <ns0:mergeCell ref="A210:C210"/>
    <ns0:mergeCell ref="D210:E210"/>
    <ns0:mergeCell ref="F210:G210"/>
    <ns0:mergeCell ref="H210:I210"/>
    <ns0:mergeCell ref="J210:K210"/>
    <ns0:mergeCell ref="L210:M210"/>
    <ns0:mergeCell ref="N210:O210"/>
    <ns0:mergeCell ref="P210:Q210"/>
    <ns0:mergeCell ref="L176:P176"/>
    <ns0:mergeCell ref="L177:P177"/>
    <ns0:mergeCell ref="S177:T177"/>
    <ns0:mergeCell ref="B178:D178"/>
    <ns0:mergeCell ref="E178:G178"/>
    <ns0:mergeCell ref="L178:P178"/>
    <ns0:mergeCell ref="Q178:T178"/>
    <ns0:mergeCell ref="D179:Q179"/>
    <ns0:mergeCell ref="D180:E180"/>
    <ns0:mergeCell ref="F180:G180"/>
    <ns0:mergeCell ref="H180:I180"/>
    <ns0:mergeCell ref="J180:K180"/>
    <ns0:mergeCell ref="L180:M180"/>
    <ns0:mergeCell ref="N180:O180"/>
    <ns0:mergeCell ref="P180:Q180"/>
    <ns0:mergeCell ref="R207:R209"/>
    <ns0:mergeCell ref="A208:B208"/>
    <ns0:mergeCell ref="D208:E208"/>
    <ns0:mergeCell ref="F208:G208"/>
    <ns0:mergeCell ref="H208:I208"/>
    <ns0:mergeCell ref="J208:K208"/>
    <ns0:mergeCell ref="L208:M208"/>
    <ns0:mergeCell ref="N208:O208"/>
    <ns0:mergeCell ref="P208:Q208"/>
    <ns0:mergeCell ref="A209:B209"/>
    <ns0:mergeCell ref="D209:E209"/>
    <ns0:mergeCell ref="F209:G209"/>
    <ns0:mergeCell ref="H209:I209"/>
    <ns0:mergeCell ref="J209:K209"/>
    <ns0:mergeCell ref="L209:M209"/>
    <ns0:mergeCell ref="N209:O209"/>
    <ns0:mergeCell ref="P209:Q209"/>
    <ns0:mergeCell ref="P205:Q205"/>
    <ns0:mergeCell ref="A206:B206"/>
    <ns0:mergeCell ref="D206:E206"/>
    <ns0:mergeCell ref="F206:G206"/>
    <ns0:mergeCell ref="H206:I206"/>
    <ns0:mergeCell ref="J206:K206"/>
    <ns0:mergeCell ref="L206:M206"/>
    <ns0:mergeCell ref="N206:O206"/>
    <ns0:mergeCell ref="P206:Q206"/>
    <ns0:mergeCell ref="A207:B207"/>
    <ns0:mergeCell ref="C207:C209"/>
    <ns0:mergeCell ref="D207:E207"/>
    <ns0:mergeCell ref="F207:G207"/>
    <ns0:mergeCell ref="H207:I207"/>
    <ns0:mergeCell ref="J207:K207"/>
    <ns0:mergeCell ref="L207:M207"/>
    <ns0:mergeCell ref="N207:O207"/>
    <ns0:mergeCell ref="P207:Q207"/>
    <ns0:mergeCell ref="R201:R203"/>
    <ns0:mergeCell ref="A202:B202"/>
    <ns0:mergeCell ref="D202:E202"/>
    <ns0:mergeCell ref="F202:G202"/>
    <ns0:mergeCell ref="H202:I202"/>
    <ns0:mergeCell ref="J202:K202"/>
    <ns0:mergeCell ref="L202:M202"/>
    <ns0:mergeCell ref="N202:O202"/>
    <ns0:mergeCell ref="P202:Q202"/>
    <ns0:mergeCell ref="D203:E203"/>
    <ns0:mergeCell ref="F203:G203"/>
    <ns0:mergeCell ref="H203:I203"/>
    <ns0:mergeCell ref="J203:K203"/>
    <ns0:mergeCell ref="L203:M203"/>
    <ns0:mergeCell ref="N203:O203"/>
    <ns0:mergeCell ref="P203:Q203"/>
    <ns0:mergeCell ref="C204:C206"/>
    <ns0:mergeCell ref="D204:E204"/>
    <ns0:mergeCell ref="F204:G204"/>
    <ns0:mergeCell ref="H204:I204"/>
    <ns0:mergeCell ref="J204:K204"/>
    <ns0:mergeCell ref="L204:M204"/>
    <ns0:mergeCell ref="N204:O204"/>
    <ns0:mergeCell ref="P204:Q204"/>
    <ns0:mergeCell ref="R204:R206"/>
    <ns0:mergeCell ref="A205:B205"/>
    <ns0:mergeCell ref="D205:E205"/>
    <ns0:mergeCell ref="F205:G205"/>
    <ns0:mergeCell ref="H205:I205"/>
    <ns0:mergeCell ref="J205:K205"/>
    <ns0:mergeCell ref="L205:M205"/>
    <ns0:mergeCell ref="N205:O205"/>
    <ns0:mergeCell ref="A200:C200"/>
    <ns0:mergeCell ref="D200:E200"/>
    <ns0:mergeCell ref="F200:G200"/>
    <ns0:mergeCell ref="H200:I200"/>
    <ns0:mergeCell ref="J200:K200"/>
    <ns0:mergeCell ref="L200:M200"/>
    <ns0:mergeCell ref="N200:O200"/>
    <ns0:mergeCell ref="P200:Q200"/>
    <ns0:mergeCell ref="A201:B201"/>
    <ns0:mergeCell ref="C201:C203"/>
    <ns0:mergeCell ref="D201:E201"/>
    <ns0:mergeCell ref="F201:G201"/>
    <ns0:mergeCell ref="H201:I201"/>
    <ns0:mergeCell ref="J201:K201"/>
    <ns0:mergeCell ref="L201:M201"/>
    <ns0:mergeCell ref="N201:O201"/>
    <ns0:mergeCell ref="P201:Q201"/>
    <ns0:mergeCell ref="R197:R199"/>
    <ns0:mergeCell ref="A198:B198"/>
    <ns0:mergeCell ref="D198:E198"/>
    <ns0:mergeCell ref="F198:G198"/>
    <ns0:mergeCell ref="H198:I198"/>
    <ns0:mergeCell ref="J198:K198"/>
    <ns0:mergeCell ref="L198:M198"/>
    <ns0:mergeCell ref="N198:O198"/>
    <ns0:mergeCell ref="P198:Q198"/>
    <ns0:mergeCell ref="A199:B199"/>
    <ns0:mergeCell ref="D199:E199"/>
    <ns0:mergeCell ref="F199:G199"/>
    <ns0:mergeCell ref="H199:I199"/>
    <ns0:mergeCell ref="J199:K199"/>
    <ns0:mergeCell ref="L199:M199"/>
    <ns0:mergeCell ref="N199:O199"/>
    <ns0:mergeCell ref="P199:Q199"/>
    <ns0:mergeCell ref="P195:Q195"/>
    <ns0:mergeCell ref="A196:B196"/>
    <ns0:mergeCell ref="D196:E196"/>
    <ns0:mergeCell ref="F196:G196"/>
    <ns0:mergeCell ref="H196:I196"/>
    <ns0:mergeCell ref="J196:K196"/>
    <ns0:mergeCell ref="L196:M196"/>
    <ns0:mergeCell ref="N196:O196"/>
    <ns0:mergeCell ref="P196:Q196"/>
    <ns0:mergeCell ref="A197:B197"/>
    <ns0:mergeCell ref="C197:C199"/>
    <ns0:mergeCell ref="D197:E197"/>
    <ns0:mergeCell ref="F197:G197"/>
    <ns0:mergeCell ref="H197:I197"/>
    <ns0:mergeCell ref="J197:K197"/>
    <ns0:mergeCell ref="L197:M197"/>
    <ns0:mergeCell ref="N197:O197"/>
    <ns0:mergeCell ref="P197:Q197"/>
    <ns0:mergeCell ref="R191:R193"/>
    <ns0:mergeCell ref="A192:B192"/>
    <ns0:mergeCell ref="D192:E192"/>
    <ns0:mergeCell ref="F192:G192"/>
    <ns0:mergeCell ref="H192:I192"/>
    <ns0:mergeCell ref="J192:K192"/>
    <ns0:mergeCell ref="L192:M192"/>
    <ns0:mergeCell ref="N192:O192"/>
    <ns0:mergeCell ref="P192:Q192"/>
    <ns0:mergeCell ref="D193:E193"/>
    <ns0:mergeCell ref="F193:G193"/>
    <ns0:mergeCell ref="H193:I193"/>
    <ns0:mergeCell ref="J193:K193"/>
    <ns0:mergeCell ref="L193:M193"/>
    <ns0:mergeCell ref="N193:O193"/>
    <ns0:mergeCell ref="P193:Q193"/>
    <ns0:mergeCell ref="C194:C196"/>
    <ns0:mergeCell ref="D194:E194"/>
    <ns0:mergeCell ref="F194:G194"/>
    <ns0:mergeCell ref="H194:I194"/>
    <ns0:mergeCell ref="J194:K194"/>
    <ns0:mergeCell ref="L194:M194"/>
    <ns0:mergeCell ref="N194:O194"/>
    <ns0:mergeCell ref="P194:Q194"/>
    <ns0:mergeCell ref="R194:R196"/>
    <ns0:mergeCell ref="A195:B195"/>
    <ns0:mergeCell ref="D195:E195"/>
    <ns0:mergeCell ref="F195:G195"/>
    <ns0:mergeCell ref="H195:I195"/>
    <ns0:mergeCell ref="J195:K195"/>
    <ns0:mergeCell ref="L195:M195"/>
    <ns0:mergeCell ref="N195:O195"/>
    <ns0:mergeCell ref="A190:C190"/>
    <ns0:mergeCell ref="D190:E190"/>
    <ns0:mergeCell ref="F190:G190"/>
    <ns0:mergeCell ref="H190:I190"/>
    <ns0:mergeCell ref="J190:K190"/>
    <ns0:mergeCell ref="L190:M190"/>
    <ns0:mergeCell ref="N190:O190"/>
    <ns0:mergeCell ref="P190:Q190"/>
    <ns0:mergeCell ref="A191:B191"/>
    <ns0:mergeCell ref="C191:C193"/>
    <ns0:mergeCell ref="D191:E191"/>
    <ns0:mergeCell ref="F191:G191"/>
    <ns0:mergeCell ref="H191:I191"/>
    <ns0:mergeCell ref="J191:K191"/>
    <ns0:mergeCell ref="L191:M191"/>
    <ns0:mergeCell ref="N191:O191"/>
    <ns0:mergeCell ref="P191:Q191"/>
    <ns0:mergeCell ref="R187:R189"/>
    <ns0:mergeCell ref="A188:B188"/>
    <ns0:mergeCell ref="D188:E188"/>
    <ns0:mergeCell ref="F188:G188"/>
    <ns0:mergeCell ref="H188:I188"/>
    <ns0:mergeCell ref="J188:K188"/>
    <ns0:mergeCell ref="L188:M188"/>
    <ns0:mergeCell ref="N188:O188"/>
    <ns0:mergeCell ref="P188:Q188"/>
    <ns0:mergeCell ref="A189:B189"/>
    <ns0:mergeCell ref="D189:E189"/>
    <ns0:mergeCell ref="F189:G189"/>
    <ns0:mergeCell ref="H189:I189"/>
    <ns0:mergeCell ref="J189:K189"/>
    <ns0:mergeCell ref="L189:M189"/>
    <ns0:mergeCell ref="N189:O189"/>
    <ns0:mergeCell ref="P189:Q189"/>
    <ns0:mergeCell ref="P185:Q185"/>
    <ns0:mergeCell ref="A186:B186"/>
    <ns0:mergeCell ref="D186:E186"/>
    <ns0:mergeCell ref="F186:G186"/>
    <ns0:mergeCell ref="H186:I186"/>
    <ns0:mergeCell ref="J186:K186"/>
    <ns0:mergeCell ref="L186:M186"/>
    <ns0:mergeCell ref="N186:O186"/>
    <ns0:mergeCell ref="P186:Q186"/>
    <ns0:mergeCell ref="A187:B187"/>
    <ns0:mergeCell ref="C187:C189"/>
    <ns0:mergeCell ref="D187:E187"/>
    <ns0:mergeCell ref="F187:G187"/>
    <ns0:mergeCell ref="H187:I187"/>
    <ns0:mergeCell ref="J187:K187"/>
    <ns0:mergeCell ref="L187:M187"/>
    <ns0:mergeCell ref="N187:O187"/>
    <ns0:mergeCell ref="P187:Q187"/>
    <ns0:mergeCell ref="R181:R183"/>
    <ns0:mergeCell ref="A182:B182"/>
    <ns0:mergeCell ref="D182:E182"/>
    <ns0:mergeCell ref="F182:G182"/>
    <ns0:mergeCell ref="H182:I182"/>
    <ns0:mergeCell ref="J182:K182"/>
    <ns0:mergeCell ref="L182:M182"/>
    <ns0:mergeCell ref="N182:O182"/>
    <ns0:mergeCell ref="P182:Q182"/>
    <ns0:mergeCell ref="D183:E183"/>
    <ns0:mergeCell ref="F183:G183"/>
    <ns0:mergeCell ref="H183:I183"/>
    <ns0:mergeCell ref="J183:K183"/>
    <ns0:mergeCell ref="L183:M183"/>
    <ns0:mergeCell ref="N183:O183"/>
    <ns0:mergeCell ref="P183:Q183"/>
    <ns0:mergeCell ref="C184:C186"/>
    <ns0:mergeCell ref="D184:E184"/>
    <ns0:mergeCell ref="F184:G184"/>
    <ns0:mergeCell ref="H184:I184"/>
    <ns0:mergeCell ref="J184:K184"/>
    <ns0:mergeCell ref="L184:M184"/>
    <ns0:mergeCell ref="N184:O184"/>
    <ns0:mergeCell ref="P184:Q184"/>
    <ns0:mergeCell ref="R184:R186"/>
    <ns0:mergeCell ref="A185:B185"/>
    <ns0:mergeCell ref="D185:E185"/>
    <ns0:mergeCell ref="F185:G185"/>
    <ns0:mergeCell ref="H185:I185"/>
    <ns0:mergeCell ref="J185:K185"/>
    <ns0:mergeCell ref="L185:M185"/>
    <ns0:mergeCell ref="N185:O185"/>
    <ns0:mergeCell ref="A175:C175"/>
    <ns0:mergeCell ref="D175:E175"/>
    <ns0:mergeCell ref="F175:G175"/>
    <ns0:mergeCell ref="H175:I175"/>
    <ns0:mergeCell ref="J175:K175"/>
    <ns0:mergeCell ref="L175:M175"/>
    <ns0:mergeCell ref="N175:O175"/>
    <ns0:mergeCell ref="P175:Q175"/>
    <ns0:mergeCell ref="A181:B181"/>
    <ns0:mergeCell ref="C181:C183"/>
    <ns0:mergeCell ref="D181:E181"/>
    <ns0:mergeCell ref="F181:G181"/>
    <ns0:mergeCell ref="H181:I181"/>
    <ns0:mergeCell ref="J181:K181"/>
    <ns0:mergeCell ref="L181:M181"/>
    <ns0:mergeCell ref="N181:O181"/>
    <ns0:mergeCell ref="P181:Q181"/>
    <ns0:mergeCell ref="A172:B172"/>
    <ns0:mergeCell ref="C172:C174"/>
    <ns0:mergeCell ref="D172:E172"/>
    <ns0:mergeCell ref="F172:G172"/>
    <ns0:mergeCell ref="H172:I172"/>
    <ns0:mergeCell ref="J172:K172"/>
    <ns0:mergeCell ref="L172:M172"/>
    <ns0:mergeCell ref="N172:O172"/>
    <ns0:mergeCell ref="P172:Q172"/>
    <ns0:mergeCell ref="R172:R174"/>
    <ns0:mergeCell ref="A173:B173"/>
    <ns0:mergeCell ref="D173:E173"/>
    <ns0:mergeCell ref="F173:G173"/>
    <ns0:mergeCell ref="H173:I173"/>
    <ns0:mergeCell ref="J173:K173"/>
    <ns0:mergeCell ref="L173:M173"/>
    <ns0:mergeCell ref="N173:O173"/>
    <ns0:mergeCell ref="P173:Q173"/>
    <ns0:mergeCell ref="A174:B174"/>
    <ns0:mergeCell ref="D174:E174"/>
    <ns0:mergeCell ref="F174:G174"/>
    <ns0:mergeCell ref="H174:I174"/>
    <ns0:mergeCell ref="J174:K174"/>
    <ns0:mergeCell ref="L174:M174"/>
    <ns0:mergeCell ref="N174:O174"/>
    <ns0:mergeCell ref="P174:Q174"/>
    <ns0:mergeCell ref="N169:O169"/>
    <ns0:mergeCell ref="P169:Q169"/>
    <ns0:mergeCell ref="R169:R171"/>
    <ns0:mergeCell ref="A170:B170"/>
    <ns0:mergeCell ref="D170:E170"/>
    <ns0:mergeCell ref="F170:G170"/>
    <ns0:mergeCell ref="H170:I170"/>
    <ns0:mergeCell ref="J170:K170"/>
    <ns0:mergeCell ref="L170:M170"/>
    <ns0:mergeCell ref="N170:O170"/>
    <ns0:mergeCell ref="P170:Q170"/>
    <ns0:mergeCell ref="A171:B171"/>
    <ns0:mergeCell ref="D171:E171"/>
    <ns0:mergeCell ref="F171:G171"/>
    <ns0:mergeCell ref="H171:I171"/>
    <ns0:mergeCell ref="J171:K171"/>
    <ns0:mergeCell ref="L171:M171"/>
    <ns0:mergeCell ref="N171:O171"/>
    <ns0:mergeCell ref="P171:Q171"/>
    <ns0:mergeCell ref="C169:C171"/>
    <ns0:mergeCell ref="D169:E169"/>
    <ns0:mergeCell ref="F169:G169"/>
    <ns0:mergeCell ref="H169:I169"/>
    <ns0:mergeCell ref="N166:O166"/>
    <ns0:mergeCell ref="P166:Q166"/>
    <ns0:mergeCell ref="R166:R168"/>
    <ns0:mergeCell ref="A167:B167"/>
    <ns0:mergeCell ref="D167:E167"/>
    <ns0:mergeCell ref="F167:G167"/>
    <ns0:mergeCell ref="H167:I167"/>
    <ns0:mergeCell ref="J167:K167"/>
    <ns0:mergeCell ref="L167:M167"/>
    <ns0:mergeCell ref="N167:O167"/>
    <ns0:mergeCell ref="P167:Q167"/>
    <ns0:mergeCell ref="D168:E168"/>
    <ns0:mergeCell ref="F168:G168"/>
    <ns0:mergeCell ref="H168:I168"/>
    <ns0:mergeCell ref="J168:K168"/>
    <ns0:mergeCell ref="L168:M168"/>
    <ns0:mergeCell ref="N168:O168"/>
    <ns0:mergeCell ref="P168:Q168"/>
    <ns0:mergeCell ref="P145:Q145"/>
    <ns0:mergeCell ref="S107:T107"/>
    <ns0:mergeCell ref="B108:D108"/>
    <ns0:mergeCell ref="E108:G108"/>
    <ns0:mergeCell ref="L108:P108"/>
    <ns0:mergeCell ref="Q108:T108"/>
    <ns0:mergeCell ref="D109:Q109"/>
    <ns0:mergeCell ref="D110:E110"/>
    <ns0:mergeCell ref="F110:G110"/>
    <ns0:mergeCell ref="H110:I110"/>
    <ns0:mergeCell ref="J110:K110"/>
    <ns0:mergeCell ref="L110:M110"/>
    <ns0:mergeCell ref="N110:O110"/>
    <ns0:mergeCell ref="P110:Q110"/>
    <ns0:mergeCell ref="L141:P141"/>
    <ns0:mergeCell ref="L142:P142"/>
    <ns0:mergeCell ref="S142:T142"/>
    <ns0:mergeCell ref="B143:D143"/>
    <ns0:mergeCell ref="E143:G143"/>
    <ns0:mergeCell ref="L143:P143"/>
    <ns0:mergeCell ref="Q143:T143"/>
    <ns0:mergeCell ref="N114:O114"/>
    <ns0:mergeCell ref="P114:Q114"/>
    <ns0:mergeCell ref="D115:E115"/>
    <ns0:mergeCell ref="F115:G115"/>
    <ns0:mergeCell ref="A137:B137"/>
    <ns0:mergeCell ref="H115:I115"/>
    <ns0:mergeCell ref="J115:K115"/>
    <ns0:mergeCell ref="L115:M115"/>
    <ns0:mergeCell ref="N115:O115"/>
    <ns0:mergeCell ref="P115:Q115"/>
    <ns0:mergeCell ref="F114:G114"/>
    <ns0:mergeCell ref="S246:T246"/>
    <ns0:mergeCell ref="A35:C35"/>
    <ns0:mergeCell ref="D35:E35"/>
    <ns0:mergeCell ref="F35:G35"/>
    <ns0:mergeCell ref="H35:I35"/>
    <ns0:mergeCell ref="J35:K35"/>
    <ns0:mergeCell ref="L35:M35"/>
    <ns0:mergeCell ref="N35:O35"/>
    <ns0:mergeCell ref="P35:Q35"/>
    <ns0:mergeCell ref="A245:B245"/>
    <ns0:mergeCell ref="D245:E245"/>
    <ns0:mergeCell ref="F245:G245"/>
    <ns0:mergeCell ref="H245:I245"/>
    <ns0:mergeCell ref="J245:K245"/>
    <ns0:mergeCell ref="L245:M245"/>
    <ns0:mergeCell ref="N245:O245"/>
    <ns0:mergeCell ref="P245:Q245"/>
    <ns0:mergeCell ref="S245:T245"/>
    <ns0:mergeCell ref="C96:C98"/>
    <ns0:mergeCell ref="C99:C101"/>
    <ns0:mergeCell ref="C102:C104"/>
    <ns0:mergeCell ref="C156:C158"/>
    <ns0:mergeCell ref="C159:C161"/>
    <ns0:mergeCell ref="C162:C164"/>
    <ns0:mergeCell ref="L106:P106"/>
    <ns0:mergeCell ref="D144:Q144"/>
    <ns0:mergeCell ref="D145:E145"/>
    <ns0:mergeCell ref="F145:G145"/>
    <ns0:mergeCell ref="H145:I145"/>
    <ns0:mergeCell ref="J145:K145"/>
    <ns0:mergeCell ref="L145:M145"/>
    <ns0:mergeCell ref="N145:O145"/>
    <ns0:mergeCell ref="A32:B32"/>
    <ns0:mergeCell ref="C32:C34"/>
    <ns0:mergeCell ref="D32:E32"/>
    <ns0:mergeCell ref="F32:G32"/>
    <ns0:mergeCell ref="H32:I32"/>
    <ns0:mergeCell ref="J32:K32"/>
    <ns0:mergeCell ref="L32:M32"/>
    <ns0:mergeCell ref="N32:O32"/>
    <ns0:mergeCell ref="P32:Q32"/>
    <ns0:mergeCell ref="R32:R34"/>
    <ns0:mergeCell ref="A33:B33"/>
    <ns0:mergeCell ref="D33:E33"/>
    <ns0:mergeCell ref="F33:G33"/>
    <ns0:mergeCell ref="H33:I33"/>
    <ns0:mergeCell ref="J33:K33"/>
    <ns0:mergeCell ref="L33:M33"/>
    <ns0:mergeCell ref="N33:O33"/>
    <ns0:mergeCell ref="P33:Q33"/>
    <ns0:mergeCell ref="A34:B34"/>
    <ns0:mergeCell ref="D34:E34"/>
    <ns0:mergeCell ref="F34:G34"/>
    <ns0:mergeCell ref="H34:I34"/>
    <ns0:mergeCell ref="J34:K34"/>
    <ns0:mergeCell ref="L34:M34"/>
    <ns0:mergeCell ref="N34:O34"/>
    <ns0:mergeCell ref="P34:Q34"/>
    <ns0:mergeCell ref="C29:C31"/>
    <ns0:mergeCell ref="D29:E29"/>
    <ns0:mergeCell ref="F29:G29"/>
    <ns0:mergeCell ref="H29:I29"/>
    <ns0:mergeCell ref="J29:K29"/>
    <ns0:mergeCell ref="L29:M29"/>
    <ns0:mergeCell ref="N29:O29"/>
    <ns0:mergeCell ref="P29:Q29"/>
    <ns0:mergeCell ref="R29:R31"/>
    <ns0:mergeCell ref="A30:B30"/>
    <ns0:mergeCell ref="D30:E30"/>
    <ns0:mergeCell ref="F30:G30"/>
    <ns0:mergeCell ref="H30:I30"/>
    <ns0:mergeCell ref="J30:K30"/>
    <ns0:mergeCell ref="L30:M30"/>
    <ns0:mergeCell ref="N30:O30"/>
    <ns0:mergeCell ref="A31:B31"/>
    <ns0:mergeCell ref="D31:E31"/>
    <ns0:mergeCell ref="F31:G31"/>
    <ns0:mergeCell ref="H31:I31"/>
    <ns0:mergeCell ref="J31:K31"/>
    <ns0:mergeCell ref="L31:M31"/>
    <ns0:mergeCell ref="N31:O31"/>
    <ns0:mergeCell ref="P31:Q31"/>
    <ns0:mergeCell ref="A25:C25"/>
    <ns0:mergeCell ref="D25:E25"/>
    <ns0:mergeCell ref="F25:G25"/>
    <ns0:mergeCell ref="H25:I25"/>
    <ns0:mergeCell ref="J25:K25"/>
    <ns0:mergeCell ref="L25:M25"/>
    <ns0:mergeCell ref="N25:O25"/>
    <ns0:mergeCell ref="P25:Q25"/>
    <ns0:mergeCell ref="A26:B26"/>
    <ns0:mergeCell ref="C26:C28"/>
    <ns0:mergeCell ref="D26:E26"/>
    <ns0:mergeCell ref="F26:G26"/>
    <ns0:mergeCell ref="H26:I26"/>
    <ns0:mergeCell ref="J26:K26"/>
    <ns0:mergeCell ref="L26:M26"/>
    <ns0:mergeCell ref="N26:O26"/>
    <ns0:mergeCell ref="P26:Q26"/>
    <ns0:mergeCell ref="A27:B27"/>
    <ns0:mergeCell ref="D27:E27"/>
    <ns0:mergeCell ref="F27:G27"/>
    <ns0:mergeCell ref="H27:I27"/>
    <ns0:mergeCell ref="J27:K27"/>
    <ns0:mergeCell ref="L27:M27"/>
    <ns0:mergeCell ref="N27:O27"/>
    <ns0:mergeCell ref="P27:Q27"/>
    <ns0:mergeCell ref="D28:E28"/>
    <ns0:mergeCell ref="F28:G28"/>
    <ns0:mergeCell ref="H28:I28"/>
    <ns0:mergeCell ref="J28:K28"/>
    <ns0:mergeCell ref="L28:M28"/>
    <ns0:mergeCell ref="N28:O28"/>
    <ns0:mergeCell ref="P28:Q28"/>
    <ns0:mergeCell ref="A22:B22"/>
    <ns0:mergeCell ref="C22:C24"/>
    <ns0:mergeCell ref="D22:E22"/>
    <ns0:mergeCell ref="F22:G22"/>
    <ns0:mergeCell ref="H22:I22"/>
    <ns0:mergeCell ref="J22:K22"/>
    <ns0:mergeCell ref="L22:M22"/>
    <ns0:mergeCell ref="N22:O22"/>
    <ns0:mergeCell ref="P22:Q22"/>
    <ns0:mergeCell ref="R22:R24"/>
    <ns0:mergeCell ref="A23:B23"/>
    <ns0:mergeCell ref="D23:E23"/>
    <ns0:mergeCell ref="F23:G23"/>
    <ns0:mergeCell ref="H23:I23"/>
    <ns0:mergeCell ref="J23:K23"/>
    <ns0:mergeCell ref="L23:M23"/>
    <ns0:mergeCell ref="N23:O23"/>
    <ns0:mergeCell ref="P23:Q23"/>
    <ns0:mergeCell ref="A24:B24"/>
    <ns0:mergeCell ref="D24:E24"/>
    <ns0:mergeCell ref="F24:G24"/>
    <ns0:mergeCell ref="H24:I24"/>
    <ns0:mergeCell ref="J24:K24"/>
    <ns0:mergeCell ref="L24:M24"/>
    <ns0:mergeCell ref="N24:O24"/>
    <ns0:mergeCell ref="P24:Q24"/>
    <ns0:mergeCell ref="C19:C21"/>
    <ns0:mergeCell ref="D19:E19"/>
    <ns0:mergeCell ref="F19:G19"/>
    <ns0:mergeCell ref="H19:I19"/>
    <ns0:mergeCell ref="J19:K19"/>
    <ns0:mergeCell ref="L19:M19"/>
    <ns0:mergeCell ref="N19:O19"/>
    <ns0:mergeCell ref="P19:Q19"/>
    <ns0:mergeCell ref="R19:R21"/>
    <ns0:mergeCell ref="A20:B20"/>
    <ns0:mergeCell ref="D20:E20"/>
    <ns0:mergeCell ref="F20:G20"/>
    <ns0:mergeCell ref="H20:I20"/>
    <ns0:mergeCell ref="J20:K20"/>
    <ns0:mergeCell ref="L20:M20"/>
    <ns0:mergeCell ref="N20:O20"/>
    <ns0:mergeCell ref="P20:Q20"/>
    <ns0:mergeCell ref="A21:B21"/>
    <ns0:mergeCell ref="D21:E21"/>
    <ns0:mergeCell ref="F21:G21"/>
    <ns0:mergeCell ref="H21:I21"/>
    <ns0:mergeCell ref="J21:K21"/>
    <ns0:mergeCell ref="L21:M21"/>
    <ns0:mergeCell ref="N21:O21"/>
    <ns0:mergeCell ref="P21:Q21"/>
    <ns0:mergeCell ref="D16:E16"/>
    <ns0:mergeCell ref="F16:G16"/>
    <ns0:mergeCell ref="H16:I16"/>
    <ns0:mergeCell ref="J16:K16"/>
    <ns0:mergeCell ref="L16:M16"/>
    <ns0:mergeCell ref="N16:O16"/>
    <ns0:mergeCell ref="P16:Q16"/>
    <ns0:mergeCell ref="R16:R18"/>
    <ns0:mergeCell ref="A17:B17"/>
    <ns0:mergeCell ref="D17:E17"/>
    <ns0:mergeCell ref="F17:G17"/>
    <ns0:mergeCell ref="H17:I17"/>
    <ns0:mergeCell ref="J17:K17"/>
    <ns0:mergeCell ref="L17:M17"/>
    <ns0:mergeCell ref="N17:O17"/>
    <ns0:mergeCell ref="P17:Q17"/>
    <ns0:mergeCell ref="D18:E18"/>
    <ns0:mergeCell ref="F18:G18"/>
    <ns0:mergeCell ref="H18:I18"/>
    <ns0:mergeCell ref="J18:K18"/>
    <ns0:mergeCell ref="L18:M18"/>
    <ns0:mergeCell ref="N18:O18"/>
    <ns0:mergeCell ref="P18:Q18"/>
    <ns0:mergeCell ref="A162:B162"/>
    <ns0:mergeCell ref="A291:B291"/>
    <ns0:mergeCell ref="A287:B287"/>
    <ns0:mergeCell ref="A285:B285"/>
    <ns0:mergeCell ref="A279:B279"/>
    <ns0:mergeCell ref="A278:B278"/>
    <ns0:mergeCell ref="A275:B275"/>
    <ns0:mergeCell ref="A272:B272"/>
    <ns0:mergeCell ref="A271:B271"/>
    <ns0:mergeCell ref="A270:B270"/>
    <ns0:mergeCell ref="A268:B268"/>
    <ns0:mergeCell ref="A266:B266"/>
    <ns0:mergeCell ref="A269:B269"/>
    <ns0:mergeCell ref="A276:B276"/>
    <ns0:mergeCell ref="A284:B284"/>
    <ns0:mergeCell ref="A241:M241"/>
    <ns0:mergeCell ref="A246:B246"/>
    <ns0:mergeCell ref="D246:E246"/>
    <ns0:mergeCell ref="F246:G246"/>
    <ns0:mergeCell ref="H246:I246"/>
    <ns0:mergeCell ref="J246:K246"/>
    <ns0:mergeCell ref="L246:M246"/>
    <ns0:mergeCell ref="A166:B166"/>
    <ns0:mergeCell ref="C166:C168"/>
    <ns0:mergeCell ref="D166:E166"/>
    <ns0:mergeCell ref="A251:B251"/>
    <ns0:mergeCell ref="F166:G166"/>
    <ns0:mergeCell ref="H166:I166"/>
    <ns0:mergeCell ref="J166:K166"/>
    <ns0:mergeCell ref="L166:M166"/>
    <ns0:mergeCell ref="J169:K169"/>
    <ns0:mergeCell ref="L169:M169"/>
    <ns0:mergeCell ref="A252:B252"/>
    <ns0:mergeCell ref="A253:B253"/>
    <ns0:mergeCell ref="L1:P1"/>
    <ns0:mergeCell ref="L2:P2"/>
    <ns0:mergeCell ref="L3:P3"/>
    <ns0:mergeCell ref="S241:T241"/>
    <ns0:mergeCell ref="A87:B87"/>
    <ns0:mergeCell ref="A96:B96"/>
    <ns0:mergeCell ref="A97:B97"/>
    <ns0:mergeCell ref="A111:B111"/>
    <ns0:mergeCell ref="A112:B112"/>
    <ns0:mergeCell ref="A121:B121"/>
    <ns0:mergeCell ref="A122:B122"/>
    <ns0:mergeCell ref="A131:B131"/>
    <ns0:mergeCell ref="A132:B132"/>
    <ns0:mergeCell ref="A146:B146"/>
    <ns0:mergeCell ref="A147:B147"/>
    <ns0:mergeCell ref="A156:B156"/>
    <ns0:mergeCell ref="A157:B157"/>
    <ns0:mergeCell ref="A247:B247"/>
    <ns0:mergeCell ref="A248:B248"/>
    <ns0:mergeCell ref="A249:B249"/>
    <ns0:mergeCell ref="A250:B250"/>
    <ns0:mergeCell ref="C67:C69"/>
    <ns0:mergeCell ref="C76:C78"/>
    <ns0:mergeCell ref="C79:C81"/>
    <ns0:mergeCell ref="C82:C84"/>
    <ns0:mergeCell ref="A6:B6"/>
    <ns0:mergeCell ref="R127:R129"/>
    <ns0:mergeCell ref="R124:R126"/>
    <ns0:mergeCell ref="R121:R123"/>
    <ns0:mergeCell ref="R111:R113"/>
    <ns0:mergeCell ref="R102:R104"/>
    <ns0:mergeCell ref="R99:R101"/>
    <ns0:mergeCell ref="R96:R98"/>
    <ns0:mergeCell ref="R92:R94"/>
    <ns0:mergeCell ref="R89:R91"/>
    <ns0:mergeCell ref="R86:R88"/>
    <ns0:mergeCell ref="A41:B41"/>
    <ns0:mergeCell ref="A42:B42"/>
    <ns0:mergeCell ref="A51:B51"/>
    <ns0:mergeCell ref="A52:B52"/>
    <ns0:mergeCell ref="A61:B61"/>
    <ns0:mergeCell ref="A62:B62"/>
    <ns0:mergeCell ref="A76:B76"/>
    <ns0:mergeCell ref="A77:B77"/>
    <ns0:mergeCell ref="A86:B86"/>
    <ns0:mergeCell ref="R44:R46"/>
    <ns0:mergeCell ref="R47:R49"/>
    <ns0:mergeCell ref="F55:G55"/>
    <ns0:mergeCell ref="H55:I55"/>
    <ns0:mergeCell ref="J55:K55"/>
    <ns0:mergeCell ref="L55:M55"/>
    <ns0:mergeCell ref="N55:O55"/>
    <ns0:mergeCell ref="F54:G54"/>
    <ns0:mergeCell ref="H54:I54"/>
    <ns0:mergeCell ref="J54:K54"/>
    <ns0:mergeCell ref="L54:M54"/>
    <ns0:mergeCell ref="F51:G51"/>
    <ns0:mergeCell ref="L59:M59"/>
    <ns0:mergeCell ref="N59:O59"/>
    <ns0:mergeCell ref="A47:B47"/>
    <ns0:mergeCell ref="A57:B57"/>
    <ns0:mergeCell ref="A93:B93"/>
    <ns0:mergeCell ref="R9:R11"/>
    <ns0:mergeCell ref="R12:R14"/>
    <ns0:mergeCell ref="R41:R43"/>
    <ns0:mergeCell ref="C41:C43"/>
    <ns0:mergeCell ref="C44:C46"/>
    <ns0:mergeCell ref="C47:C49"/>
    <ns0:mergeCell ref="C51:C53"/>
    <ns0:mergeCell ref="C54:C56"/>
    <ns0:mergeCell ref="R156:R158"/>
    <ns0:mergeCell ref="R159:R161"/>
    <ns0:mergeCell ref="R162:R164"/>
    <ns0:mergeCell ref="R152:R154"/>
    <ns0:mergeCell ref="R149:R151"/>
    <ns0:mergeCell ref="R146:R148"/>
    <ns0:mergeCell ref="R137:R139"/>
    <ns0:mergeCell ref="R134:R136"/>
    <ns0:mergeCell ref="R131:R133"/>
    <ns0:mergeCell ref="C131:C133"/>
    <ns0:mergeCell ref="F152:G152"/>
    <ns0:mergeCell ref="H152:I152"/>
    <ns0:mergeCell ref="J152:K152"/>
    <ns0:mergeCell ref="L152:M152"/>
    <ns0:mergeCell ref="N152:O152"/>
    <ns0:mergeCell ref="P152:Q152"/>
    <ns0:mergeCell ref="H151:I151"/>
    <ns0:mergeCell ref="J151:K151"/>
    <ns0:mergeCell ref="L151:M151"/>
    <ns0:mergeCell ref="N151:O151"/>
    <ns0:mergeCell ref="P151:Q151"/>
    <ns0:mergeCell ref="H146:I146"/>
    <ns0:mergeCell ref="R117:R119"/>
    <ns0:mergeCell ref="R114:R116"/>
    <ns0:mergeCell ref="L146:M146"/>
    <ns0:mergeCell ref="F154:G154"/>
    <ns0:mergeCell ref="H154:I154"/>
    <ns0:mergeCell ref="J154:K154"/>
    <ns0:mergeCell ref="P155:Q155"/>
    <ns0:mergeCell ref="D152:E152"/>
    <ns0:mergeCell ref="P154:Q154"/>
    <ns0:mergeCell ref="H149:I149"/>
    <ns0:mergeCell ref="J149:K149"/>
    <ns0:mergeCell ref="R61:R63"/>
    <ns0:mergeCell ref="R57:R59"/>
    <ns0:mergeCell ref="R54:R56"/>
    <ns0:mergeCell ref="R51:R53"/>
    <ns0:mergeCell ref="J7:K7"/>
    <ns0:mergeCell ref="L7:M7"/>
    <ns0:mergeCell ref="N7:O7"/>
    <ns0:mergeCell ref="P7:Q7"/>
    <ns0:mergeCell ref="F10:G10"/>
    <ns0:mergeCell ref="H10:I10"/>
    <ns0:mergeCell ref="J10:K10"/>
    <ns0:mergeCell ref="L10:M10"/>
    <ns0:mergeCell ref="N14:O14"/>
    <ns0:mergeCell ref="P14:Q14"/>
    <ns0:mergeCell ref="H53:I53"/>
    <ns0:mergeCell ref="J53:K53"/>
    <ns0:mergeCell ref="L53:M53"/>
    <ns0:mergeCell ref="N53:O53"/>
    <ns0:mergeCell ref="P53:Q53"/>
    <ns0:mergeCell ref="P15:Q15"/>
    <ns0:mergeCell ref="N15:O15"/>
    <ns0:mergeCell ref="L15:M15"/>
    <ns0:mergeCell ref="R6:R8"/>
    <ns0:mergeCell ref="F14:G14"/>
    <ns0:mergeCell ref="H14:I14"/>
    <ns0:mergeCell ref="J14:K14"/>
    <ns0:mergeCell ref="R26:R28"/>
    <ns0:mergeCell ref="N54:O54"/>
    <ns0:mergeCell ref="P54:Q54"/>
    <ns0:mergeCell ref="J59:K59"/>
    <ns0:mergeCell ref="R82:R84"/>
    <ns0:mergeCell ref="R79:R81"/>
    <ns0:mergeCell ref="R76:R78"/>
    <ns0:mergeCell ref="R67:R69"/>
    <ns0:mergeCell ref="R64:R66"/>
    <ns0:mergeCell ref="S264:T264"/>
    <ns0:mergeCell ref="Q3:T3"/>
    <ns0:mergeCell ref="S2:T2"/>
    <ns0:mergeCell ref="D4:Q4"/>
    <ns0:mergeCell ref="R242:T242"/>
    <ns0:mergeCell ref="S243:T243"/>
    <ns0:mergeCell ref="S244:T244"/>
    <ns0:mergeCell ref="S249:T249"/>
    <ns0:mergeCell ref="S250:T250"/>
    <ns0:mergeCell ref="S251:T251"/>
    <ns0:mergeCell ref="S252:T252"/>
    <ns0:mergeCell ref="S253:T253"/>
    <ns0:mergeCell ref="S248:T248"/>
    <ns0:mergeCell ref="S247:T247"/>
    <ns0:mergeCell ref="D155:E155"/>
    <ns0:mergeCell ref="F155:G155"/>
    <ns0:mergeCell ref="H155:I155"/>
    <ns0:mergeCell ref="J155:K155"/>
    <ns0:mergeCell ref="L155:M155"/>
    <ns0:mergeCell ref="J146:K146"/>
    <ns0:mergeCell ref="N155:O155"/>
    <ns0:mergeCell ref="L154:M154"/>
    <ns0:mergeCell ref="N154:O154"/>
    <ns0:mergeCell ref="L149:M149"/>
    <ns0:mergeCell ref="N149:O149"/>
    <ns0:mergeCell ref="P149:Q149"/>
    <ns0:mergeCell ref="A150:B150"/>
    <ns0:mergeCell ref="D150:E150"/>
    <ns0:mergeCell ref="F150:G150"/>
    <ns0:mergeCell ref="H150:I150"/>
    <ns0:mergeCell ref="J150:K150"/>
    <ns0:mergeCell ref="L150:M150"/>
    <ns0:mergeCell ref="N150:O150"/>
    <ns0:mergeCell ref="P150:Q150"/>
    <ns0:mergeCell ref="A151:B151"/>
    <ns0:mergeCell ref="D151:E151"/>
    <ns0:mergeCell ref="F151:G151"/>
    <ns0:mergeCell ref="C149:C151"/>
    <ns0:mergeCell ref="C152:C154"/>
    <ns0:mergeCell ref="A152:B152"/>
    <ns0:mergeCell ref="B3:D3"/>
    <ns0:mergeCell ref="E3:G3"/>
    <ns0:mergeCell ref="A50:C50"/>
    <ns0:mergeCell ref="F9:G9"/>
    <ns0:mergeCell ref="H9:I9"/>
    <ns0:mergeCell ref="J9:K9"/>
    <ns0:mergeCell ref="L9:M9"/>
    <ns0:mergeCell ref="N9:O9"/>
    <ns0:mergeCell ref="P9:Q9"/>
    <ns0:mergeCell ref="J8:K8"/>
    <ns0:mergeCell ref="H8:I8"/>
    <ns0:mergeCell ref="F8:G8"/>
    <ns0:mergeCell ref="D8:E8"/>
    <ns0:mergeCell ref="F11:G11"/>
    <ns0:mergeCell ref="H11:I11"/>
    <ns0:mergeCell ref="J11:K11"/>
    <ns0:mergeCell ref="A153:B153"/>
    <ns0:mergeCell ref="D153:E153"/>
    <ns0:mergeCell ref="F153:G153"/>
    <ns0:mergeCell ref="H153:I153"/>
    <ns0:mergeCell ref="J153:K153"/>
    <ns0:mergeCell ref="L153:M153"/>
    <ns0:mergeCell ref="N153:O153"/>
    <ns0:mergeCell ref="P153:Q153"/>
    <ns0:mergeCell ref="C6:C8"/>
    <ns0:mergeCell ref="C9:C11"/>
    <ns0:mergeCell ref="C12:C14"/>
    <ns0:mergeCell ref="F6:G6"/>
    <ns0:mergeCell ref="C134:C136"/>
    <ns0:mergeCell ref="C137:C139"/>
    <ns0:mergeCell ref="C146:C148"/>
    <ns0:mergeCell ref="C86:C88"/>
    <ns0:mergeCell ref="F146:G146"/>
    <ns0:mergeCell ref="D149:E149"/>
    <ns0:mergeCell ref="F149:G149"/>
    <ns0:mergeCell ref="A65:B65"/>
    <ns0:mergeCell ref="A66:B66"/>
    <ns0:mergeCell ref="A68:B68"/>
    <ns0:mergeCell ref="A69:B69"/>
    <ns0:mergeCell ref="A80:B80"/>
    <ns0:mergeCell ref="A81:B81"/>
    <ns0:mergeCell ref="A83:B83"/>
    <ns0:mergeCell ref="A84:B84"/>
    <ns0:mergeCell ref="F53:G53"/>
    <ns0:mergeCell ref="F127:G127"/>
    <ns0:mergeCell ref="F139:G139"/>
    <ns0:mergeCell ref="N146:O146"/>
    <ns0:mergeCell ref="P146:Q146"/>
    <ns0:mergeCell ref="D147:E147"/>
    <ns0:mergeCell ref="F147:G147"/>
    <ns0:mergeCell ref="H147:I147"/>
    <ns0:mergeCell ref="J147:K147"/>
    <ns0:mergeCell ref="L147:M147"/>
    <ns0:mergeCell ref="N147:O147"/>
    <ns0:mergeCell ref="P147:Q147"/>
    <ns0:mergeCell ref="D148:E148"/>
    <ns0:mergeCell ref="F148:G148"/>
    <ns0:mergeCell ref="H148:I148"/>
    <ns0:mergeCell ref="J148:K148"/>
    <ns0:mergeCell ref="L148:M148"/>
    <ns0:mergeCell ref="N148:O148"/>
    <ns0:mergeCell ref="P148:Q148"/>
    <ns0:mergeCell ref="C89:C91"/>
    <ns0:mergeCell ref="C92:C94"/>
    <ns0:mergeCell ref="A12:B12"/>
    <ns0:mergeCell ref="A85:C85"/>
    <ns0:mergeCell ref="A95:C95"/>
    <ns0:mergeCell ref="A243:B243"/>
    <ns0:mergeCell ref="A165:C165"/>
    <ns0:mergeCell ref="A161:B161"/>
    <ns0:mergeCell ref="A136:B136"/>
    <ns0:mergeCell ref="A135:B135"/>
    <ns0:mergeCell ref="A239:C239"/>
    <ns0:mergeCell ref="A164:B164"/>
    <ns0:mergeCell ref="N89:O89"/>
    <ns0:mergeCell ref="P89:Q89"/>
    <ns0:mergeCell ref="F90:G90"/>
    <ns0:mergeCell ref="H90:I90"/>
    <ns0:mergeCell ref="J90:K90"/>
    <ns0:mergeCell ref="L90:M90"/>
    <ns0:mergeCell ref="N90:O90"/>
    <ns0:mergeCell ref="P90:Q90"/>
    <ns0:mergeCell ref="A60:C60"/>
    <ns0:mergeCell ref="A130:C130"/>
    <ns0:mergeCell ref="A105:C105"/>
    <ns0:mergeCell ref="A155:C155"/>
    <ns0:mergeCell ref="C111:C113"/>
    <ns0:mergeCell ref="C114:C116"/>
    <ns0:mergeCell ref="C117:C119"/>
    <ns0:mergeCell ref="C121:C123"/>
    <ns0:mergeCell ref="C124:C126"/>
    <ns0:mergeCell ref="J69:K69"/>
    <ns0:mergeCell ref="L69:M69"/>
    <ns0:mergeCell ref="N63:O63"/>
    <ns0:mergeCell ref="P63:Q63"/>
    <ns0:mergeCell ref="F66:G66"/>
    <ns0:mergeCell ref="A94:B94"/>
    <ns0:mergeCell ref="A100:B100"/>
    <ns0:mergeCell ref="A101:B101"/>
    <ns0:mergeCell ref="A103:B103"/>
    <ns0:mergeCell ref="A104:B104"/>
    <ns0:mergeCell ref="A13:B13"/>
    <ns0:mergeCell ref="A49:B49"/>
    <ns0:mergeCell ref="A129:B129"/>
    <ns0:mergeCell ref="A55:B55"/>
    <ns0:mergeCell ref="A126:B126"/>
    <ns0:mergeCell ref="A56:B56"/>
    <ns0:mergeCell ref="A58:B58"/>
    <ns0:mergeCell ref="A128:B128"/>
    <ns0:mergeCell ref="A45:B45"/>
    <ns0:mergeCell ref="A14:B14"/>
    <ns0:mergeCell ref="A115:B115"/>
    <ns0:mergeCell ref="A116:B116"/>
    <ns0:mergeCell ref="A118:B118"/>
    <ns0:mergeCell ref="A119:B119"/>
    <ns0:mergeCell ref="A70:C70"/>
    <ns0:mergeCell ref="C57:C59"/>
    <ns0:mergeCell ref="C61:C63"/>
    <ns0:mergeCell ref="C64:C66"/>
    <ns0:mergeCell ref="C127:C129"/>
    <ns0:mergeCell ref="A82:B82"/>
    <ns0:mergeCell ref="A102:B102"/>
    <ns0:mergeCell ref="A117:B117"/>
    <ns0:mergeCell ref="A127:B127"/>
    <ns0:mergeCell ref="A92:B92"/>
    <ns0:mergeCell ref="A67:B67"/>
    <ns0:mergeCell ref="A16:B16"/>
    <ns0:mergeCell ref="C16:C18"/>
    <ns0:mergeCell ref="D10:E10"/>
    <ns0:mergeCell ref="D53:E53"/>
    <ns0:mergeCell ref="A163:B163"/>
    <ns0:mergeCell ref="A160:B160"/>
    <ns0:mergeCell ref="A140:C140"/>
    <ns0:mergeCell ref="A138:B138"/>
    <ns0:mergeCell ref="A139:B139"/>
    <ns0:mergeCell ref="A120:C120"/>
    <ns0:mergeCell ref="D12:E12"/>
    <ns0:mergeCell ref="D59:E59"/>
    <ns0:mergeCell ref="D146:E146"/>
    <ns0:mergeCell ref="A154:B154"/>
    <ns0:mergeCell ref="D154:E154"/>
    <ns0:mergeCell ref="D14:E14"/>
    <ns0:mergeCell ref="D51:E51"/>
    <ns0:mergeCell ref="D90:E90"/>
    <ns0:mergeCell ref="D89:E89"/>
    <ns0:mergeCell ref="A48:B48"/>
    <ns0:mergeCell ref="A46:B46"/>
    <ns0:mergeCell ref="A59:B59"/>
    <ns0:mergeCell ref="A125:B125"/>
    <ns0:mergeCell ref="D55:E55"/>
    <ns0:mergeCell ref="D66:E66"/>
    <ns0:mergeCell ref="D114:E114"/>
    <ns0:mergeCell ref="D47:E47"/>
    <ns0:mergeCell ref="D135:E135"/>
    <ns0:mergeCell ref="D45:E45"/>
    <ns0:mergeCell ref="A15:C15"/>
    <ns0:mergeCell ref="A11:B11"/>
    <ns0:mergeCell ref="A10:B10"/>
    <ns0:mergeCell ref="A90:B90"/>
    <ns0:mergeCell ref="A91:B91"/>
    <ns0:mergeCell ref="D6:E6"/>
    <ns0:mergeCell ref="D7:E7"/>
    <ns0:mergeCell ref="F7:G7"/>
    <ns0:mergeCell ref="H7:I7"/>
    <ns0:mergeCell ref="P6:Q6"/>
    <ns0:mergeCell ref="N6:O6"/>
    <ns0:mergeCell ref="L6:M6"/>
    <ns0:mergeCell ref="J6:K6"/>
    <ns0:mergeCell ref="H6:I6"/>
    <ns0:mergeCell ref="N13:O13"/>
    <ns0:mergeCell ref="P13:Q13"/>
    <ns0:mergeCell ref="P8:Q8"/>
    <ns0:mergeCell ref="N8:O8"/>
    <ns0:mergeCell ref="L8:M8"/>
    <ns0:mergeCell ref="L11:M11"/>
    <ns0:mergeCell ref="N11:O11"/>
    <ns0:mergeCell ref="P11:Q11"/>
    <ns0:mergeCell ref="D13:E13"/>
    <ns0:mergeCell ref="F13:G13"/>
    <ns0:mergeCell ref="H13:I13"/>
    <ns0:mergeCell ref="J13:K13"/>
    <ns0:mergeCell ref="L13:M13"/>
    <ns0:mergeCell ref="N10:O10"/>
    <ns0:mergeCell ref="P10:Q10"/>
    <ns0:mergeCell ref="H12:I12"/>
    <ns0:mergeCell ref="J12:K12"/>
    <ns0:mergeCell ref="L12:M12"/>
    <ns0:mergeCell ref="N12:O12"/>
    <ns0:mergeCell ref="P12:Q12"/>
    <ns0:mergeCell ref="F12:G12"/>
    <ns0:mergeCell ref="D9:E9"/>
    <ns0:mergeCell ref="D11:E11"/>
    <ns0:mergeCell ref="L14:M14"/>
    <ns0:mergeCell ref="N42:O42"/>
    <ns0:mergeCell ref="P42:Q42"/>
    <ns0:mergeCell ref="D43:E43"/>
    <ns0:mergeCell ref="F43:G43"/>
    <ns0:mergeCell ref="H43:I43"/>
    <ns0:mergeCell ref="J43:K43"/>
    <ns0:mergeCell ref="L43:M43"/>
    <ns0:mergeCell ref="N43:O43"/>
    <ns0:mergeCell ref="P43:Q43"/>
    <ns0:mergeCell ref="D42:E42"/>
    <ns0:mergeCell ref="F42:G42"/>
    <ns0:mergeCell ref="H42:I42"/>
    <ns0:mergeCell ref="J42:K42"/>
    <ns0:mergeCell ref="L42:M42"/>
    <ns0:mergeCell ref="J15:K15"/>
    <ns0:mergeCell ref="H15:I15"/>
    <ns0:mergeCell ref="P30:Q30"/>
    <ns0:mergeCell ref="L36:P36"/>
    <ns0:mergeCell ref="L37:P37"/>
    <ns0:mergeCell ref="D15:E15"/>
    <ns0:mergeCell ref="L38:P38"/>
    <ns0:mergeCell ref="Q38:T38"/>
    <ns0:mergeCell ref="D39:Q39"/>
    <ns0:mergeCell ref="D40:E40"/>
    <ns0:mergeCell ref="F40:G40"/>
    <ns0:mergeCell ref="H40:I40"/>
    <ns0:mergeCell ref="J40:K40"/>
    <ns0:mergeCell ref="L40:M40"/>
    <ns0:mergeCell ref="N40:O40"/>
    <ns0:mergeCell ref="P40:Q40"/>
    <ns0:mergeCell ref="F15:G15"/>
    <ns0:mergeCell ref="N67:O67"/>
    <ns0:mergeCell ref="P67:Q67"/>
    <ns0:mergeCell ref="D68:E68"/>
    <ns0:mergeCell ref="F68:G68"/>
    <ns0:mergeCell ref="H68:I68"/>
    <ns0:mergeCell ref="J68:K68"/>
    <ns0:mergeCell ref="L68:M68"/>
    <ns0:mergeCell ref="N68:O68"/>
    <ns0:mergeCell ref="P59:Q59"/>
    <ns0:mergeCell ref="D57:E57"/>
    <ns0:mergeCell ref="F57:G57"/>
    <ns0:mergeCell ref="H57:I57"/>
    <ns0:mergeCell ref="J57:K57"/>
    <ns0:mergeCell ref="L57:M57"/>
    <ns0:mergeCell ref="N57:O57"/>
    <ns0:mergeCell ref="P57:Q57"/>
    <ns0:mergeCell ref="D56:E56"/>
    <ns0:mergeCell ref="F56:G56"/>
    <ns0:mergeCell ref="H56:I56"/>
    <ns0:mergeCell ref="J56:K56"/>
    <ns0:mergeCell ref="L56:M56"/>
    <ns0:mergeCell ref="N58:O58"/>
    <ns0:mergeCell ref="P58:Q58"/>
    <ns0:mergeCell ref="F59:G59"/>
    <ns0:mergeCell ref="D58:E58"/>
    <ns0:mergeCell ref="F58:G58"/>
    <ns0:mergeCell ref="H58:I58"/>
    <ns0:mergeCell ref="J58:K58"/>
    <ns0:mergeCell ref="L58:M58"/>
    <ns0:mergeCell ref="N56:O56"/>
    <ns0:mergeCell ref="P56:Q56"/>
    <ns0:mergeCell ref="H59:I59"/>
    <ns0:mergeCell ref="H64:I64"/>
    <ns0:mergeCell ref="J64:K64"/>
    <ns0:mergeCell ref="L64:M64"/>
    <ns0:mergeCell ref="N64:O64"/>
    <ns0:mergeCell ref="P64:Q64"/>
    <ns0:mergeCell ref="D62:E62"/>
    <ns0:mergeCell ref="F62:G62"/>
    <ns0:mergeCell ref="H62:I62"/>
    <ns0:mergeCell ref="J62:K62"/>
    <ns0:mergeCell ref="L62:M62"/>
    <ns0:mergeCell ref="N66:O66"/>
    <ns0:mergeCell ref="P66:Q66"/>
    <ns0:mergeCell ref="D65:E65"/>
    <ns0:mergeCell ref="F65:G65"/>
    <ns0:mergeCell ref="H65:I65"/>
    <ns0:mergeCell ref="J65:K65"/>
    <ns0:mergeCell ref="L65:M65"/>
    <ns0:mergeCell ref="N65:O65"/>
    <ns0:mergeCell ref="P65:Q65"/>
    <ns0:mergeCell ref="D63:E63"/>
    <ns0:mergeCell ref="F63:G63"/>
    <ns0:mergeCell ref="H63:I63"/>
    <ns0:mergeCell ref="J63:K63"/>
    <ns0:mergeCell ref="L63:M63"/>
    <ns0:mergeCell ref="H66:I66"/>
    <ns0:mergeCell ref="J66:K66"/>
    <ns0:mergeCell ref="L66:M66"/>
    <ns0:mergeCell ref="P52:Q52"/>
    <ns0:mergeCell ref="D69:E69"/>
    <ns0:mergeCell ref="F69:G69"/>
    <ns0:mergeCell ref="D61:E61"/>
    <ns0:mergeCell ref="F61:G61"/>
    <ns0:mergeCell ref="H61:I61"/>
    <ns0:mergeCell ref="J61:K61"/>
    <ns0:mergeCell ref="L61:M61"/>
    <ns0:mergeCell ref="N61:O61"/>
    <ns0:mergeCell ref="P61:Q61"/>
    <ns0:mergeCell ref="D60:E60"/>
    <ns0:mergeCell ref="F60:G60"/>
    <ns0:mergeCell ref="H60:I60"/>
    <ns0:mergeCell ref="J60:K60"/>
    <ns0:mergeCell ref="L60:M60"/>
    <ns0:mergeCell ref="N60:O60"/>
    <ns0:mergeCell ref="P60:Q60"/>
    <ns0:mergeCell ref="P55:Q55"/>
    <ns0:mergeCell ref="D54:E54"/>
    <ns0:mergeCell ref="P69:Q69"/>
    <ns0:mergeCell ref="H69:I69"/>
    <ns0:mergeCell ref="N69:O69"/>
    <ns0:mergeCell ref="P68:Q68"/>
    <ns0:mergeCell ref="D67:E67"/>
    <ns0:mergeCell ref="F67:G67"/>
    <ns0:mergeCell ref="H67:I67"/>
    <ns0:mergeCell ref="J67:K67"/>
    <ns0:mergeCell ref="L67:M67"/>
    <ns0:mergeCell ref="N62:O62"/>
    <ns0:mergeCell ref="P62:Q62"/>
    <ns0:mergeCell ref="D64:E64"/>
    <ns0:mergeCell ref="F64:G64"/>
    <ns0:mergeCell ref="N78:O78"/>
    <ns0:mergeCell ref="P78:Q78"/>
    <ns0:mergeCell ref="D77:E77"/>
    <ns0:mergeCell ref="F77:G77"/>
    <ns0:mergeCell ref="H77:I77"/>
    <ns0:mergeCell ref="J77:K77"/>
    <ns0:mergeCell ref="L77:M77"/>
    <ns0:mergeCell ref="N70:O70"/>
    <ns0:mergeCell ref="P70:Q70"/>
    <ns0:mergeCell ref="D76:E76"/>
    <ns0:mergeCell ref="F76:G76"/>
    <ns0:mergeCell ref="H76:I76"/>
    <ns0:mergeCell ref="J76:K76"/>
    <ns0:mergeCell ref="D70:E70"/>
    <ns0:mergeCell ref="F70:G70"/>
    <ns0:mergeCell ref="H70:I70"/>
    <ns0:mergeCell ref="J70:K70"/>
    <ns0:mergeCell ref="L70:M70"/>
    <ns0:mergeCell ref="L76:M76"/>
    <ns0:mergeCell ref="N76:O76"/>
    <ns0:mergeCell ref="P76:Q76"/>
    <ns0:mergeCell ref="N77:O77"/>
    <ns0:mergeCell ref="P77:Q77"/>
    <ns0:mergeCell ref="D78:E78"/>
    <ns0:mergeCell ref="F78:G78"/>
    <ns0:mergeCell ref="H78:I78"/>
    <ns0:mergeCell ref="D75:E75"/>
    <ns0:mergeCell ref="F75:G75"/>
    <ns0:mergeCell ref="H75:I75"/>
    <ns0:mergeCell ref="J75:K75"/>
    <ns0:mergeCell ref="L75:M75"/>
    <ns0:mergeCell ref="N75:O75"/>
    <ns0:mergeCell ref="N81:O81"/>
    <ns0:mergeCell ref="P81:Q81"/>
    <ns0:mergeCell ref="D82:E82"/>
    <ns0:mergeCell ref="F82:G82"/>
    <ns0:mergeCell ref="H82:I82"/>
    <ns0:mergeCell ref="J82:K82"/>
    <ns0:mergeCell ref="L82:M82"/>
    <ns0:mergeCell ref="N82:O82"/>
    <ns0:mergeCell ref="P82:Q82"/>
    <ns0:mergeCell ref="D81:E81"/>
    <ns0:mergeCell ref="F81:G81"/>
    <ns0:mergeCell ref="H81:I81"/>
    <ns0:mergeCell ref="J81:K81"/>
    <ns0:mergeCell ref="L81:M81"/>
    <ns0:mergeCell ref="N79:O79"/>
    <ns0:mergeCell ref="P79:Q79"/>
    <ns0:mergeCell ref="D80:E80"/>
    <ns0:mergeCell ref="F80:G80"/>
    <ns0:mergeCell ref="H80:I80"/>
    <ns0:mergeCell ref="J80:K80"/>
    <ns0:mergeCell ref="L80:M80"/>
    <ns0:mergeCell ref="N80:O80"/>
    <ns0:mergeCell ref="P80:Q80"/>
    <ns0:mergeCell ref="D79:E79"/>
    <ns0:mergeCell ref="F79:G79"/>
    <ns0:mergeCell ref="H79:I79"/>
    <ns0:mergeCell ref="J79:K79"/>
    <ns0:mergeCell ref="L79:M79"/>
    <ns0:mergeCell ref="J78:K78"/>
    <ns0:mergeCell ref="L78:M78"/>
    <ns0:mergeCell ref="D74:Q74"/>
    <ns0:mergeCell ref="N85:O85"/>
    <ns0:mergeCell ref="P85:Q85"/>
    <ns0:mergeCell ref="D86:E86"/>
    <ns0:mergeCell ref="F86:G86"/>
    <ns0:mergeCell ref="H86:I86"/>
    <ns0:mergeCell ref="J86:K86"/>
    <ns0:mergeCell ref="L86:M86"/>
    <ns0:mergeCell ref="N86:O86"/>
    <ns0:mergeCell ref="P86:Q86"/>
    <ns0:mergeCell ref="D85:E85"/>
    <ns0:mergeCell ref="F85:G85"/>
    <ns0:mergeCell ref="H85:I85"/>
    <ns0:mergeCell ref="J85:K85"/>
    <ns0:mergeCell ref="L85:M85"/>
    <ns0:mergeCell ref="N83:O83"/>
    <ns0:mergeCell ref="P83:Q83"/>
    <ns0:mergeCell ref="D84:E84"/>
    <ns0:mergeCell ref="F84:G84"/>
    <ns0:mergeCell ref="H84:I84"/>
    <ns0:mergeCell ref="J84:K84"/>
    <ns0:mergeCell ref="L84:M84"/>
    <ns0:mergeCell ref="N84:O84"/>
    <ns0:mergeCell ref="P84:Q84"/>
    <ns0:mergeCell ref="D83:E83"/>
    <ns0:mergeCell ref="F83:G83"/>
    <ns0:mergeCell ref="H83:I83"/>
    <ns0:mergeCell ref="J83:K83"/>
    <ns0:mergeCell ref="L83:M83"/>
    <ns0:mergeCell ref="P75:Q75"/>
    <ns0:mergeCell ref="F89:G89"/>
    <ns0:mergeCell ref="H89:I89"/>
    <ns0:mergeCell ref="J89:K89"/>
    <ns0:mergeCell ref="L89:M89"/>
    <ns0:mergeCell ref="N87:O87"/>
    <ns0:mergeCell ref="P87:Q87"/>
    <ns0:mergeCell ref="D88:E88"/>
    <ns0:mergeCell ref="F88:G88"/>
    <ns0:mergeCell ref="H88:I88"/>
    <ns0:mergeCell ref="J88:K88"/>
    <ns0:mergeCell ref="L88:M88"/>
    <ns0:mergeCell ref="N88:O88"/>
    <ns0:mergeCell ref="P88:Q88"/>
    <ns0:mergeCell ref="D87:E87"/>
    <ns0:mergeCell ref="F87:G87"/>
    <ns0:mergeCell ref="H87:I87"/>
    <ns0:mergeCell ref="J87:K87"/>
    <ns0:mergeCell ref="L87:M87"/>
    <ns0:mergeCell ref="N93:O93"/>
    <ns0:mergeCell ref="P93:Q93"/>
    <ns0:mergeCell ref="D94:E94"/>
    <ns0:mergeCell ref="F94:G94"/>
    <ns0:mergeCell ref="H94:I94"/>
    <ns0:mergeCell ref="J94:K94"/>
    <ns0:mergeCell ref="L94:M94"/>
    <ns0:mergeCell ref="N94:O94"/>
    <ns0:mergeCell ref="P94:Q94"/>
    <ns0:mergeCell ref="D93:E93"/>
    <ns0:mergeCell ref="F93:G93"/>
    <ns0:mergeCell ref="H93:I93"/>
    <ns0:mergeCell ref="J93:K93"/>
    <ns0:mergeCell ref="L93:M93"/>
    <ns0:mergeCell ref="N91:O91"/>
    <ns0:mergeCell ref="P91:Q91"/>
    <ns0:mergeCell ref="D92:E92"/>
    <ns0:mergeCell ref="F92:G92"/>
    <ns0:mergeCell ref="H92:I92"/>
    <ns0:mergeCell ref="J92:K92"/>
    <ns0:mergeCell ref="L92:M92"/>
    <ns0:mergeCell ref="N92:O92"/>
    <ns0:mergeCell ref="P92:Q92"/>
    <ns0:mergeCell ref="D91:E91"/>
    <ns0:mergeCell ref="F91:G91"/>
    <ns0:mergeCell ref="H91:I91"/>
    <ns0:mergeCell ref="J91:K91"/>
    <ns0:mergeCell ref="L91:M91"/>
    <ns0:mergeCell ref="N97:O97"/>
    <ns0:mergeCell ref="P97:Q97"/>
    <ns0:mergeCell ref="D98:E98"/>
    <ns0:mergeCell ref="F98:G98"/>
    <ns0:mergeCell ref="H98:I98"/>
    <ns0:mergeCell ref="J98:K98"/>
    <ns0:mergeCell ref="L98:M98"/>
    <ns0:mergeCell ref="N98:O98"/>
    <ns0:mergeCell ref="P98:Q98"/>
    <ns0:mergeCell ref="D97:E97"/>
    <ns0:mergeCell ref="F97:G97"/>
    <ns0:mergeCell ref="H97:I97"/>
    <ns0:mergeCell ref="J97:K97"/>
    <ns0:mergeCell ref="L97:M97"/>
    <ns0:mergeCell ref="N95:O95"/>
    <ns0:mergeCell ref="P95:Q95"/>
    <ns0:mergeCell ref="D96:E96"/>
    <ns0:mergeCell ref="F96:G96"/>
    <ns0:mergeCell ref="H96:I96"/>
    <ns0:mergeCell ref="J96:K96"/>
    <ns0:mergeCell ref="L96:M96"/>
    <ns0:mergeCell ref="N96:O96"/>
    <ns0:mergeCell ref="P96:Q96"/>
    <ns0:mergeCell ref="D95:E95"/>
    <ns0:mergeCell ref="F95:G95"/>
    <ns0:mergeCell ref="H95:I95"/>
    <ns0:mergeCell ref="J95:K95"/>
    <ns0:mergeCell ref="L95:M95"/>
    <ns0:mergeCell ref="N101:O101"/>
    <ns0:mergeCell ref="P101:Q101"/>
    <ns0:mergeCell ref="D102:E102"/>
    <ns0:mergeCell ref="F102:G102"/>
    <ns0:mergeCell ref="H102:I102"/>
    <ns0:mergeCell ref="J102:K102"/>
    <ns0:mergeCell ref="L102:M102"/>
    <ns0:mergeCell ref="N102:O102"/>
    <ns0:mergeCell ref="P102:Q102"/>
    <ns0:mergeCell ref="D101:E101"/>
    <ns0:mergeCell ref="F101:G101"/>
    <ns0:mergeCell ref="H101:I101"/>
    <ns0:mergeCell ref="J101:K101"/>
    <ns0:mergeCell ref="L101:M101"/>
    <ns0:mergeCell ref="N99:O99"/>
    <ns0:mergeCell ref="P99:Q99"/>
    <ns0:mergeCell ref="D100:E100"/>
    <ns0:mergeCell ref="F100:G100"/>
    <ns0:mergeCell ref="H100:I100"/>
    <ns0:mergeCell ref="J100:K100"/>
    <ns0:mergeCell ref="L100:M100"/>
    <ns0:mergeCell ref="N100:O100"/>
    <ns0:mergeCell ref="P100:Q100"/>
    <ns0:mergeCell ref="D99:E99"/>
    <ns0:mergeCell ref="F99:G99"/>
    <ns0:mergeCell ref="H99:I99"/>
    <ns0:mergeCell ref="J99:K99"/>
    <ns0:mergeCell ref="L99:M99"/>
    <ns0:mergeCell ref="N105:O105"/>
    <ns0:mergeCell ref="P105:Q105"/>
    <ns0:mergeCell ref="D111:E111"/>
    <ns0:mergeCell ref="F111:G111"/>
    <ns0:mergeCell ref="H111:I111"/>
    <ns0:mergeCell ref="J111:K111"/>
    <ns0:mergeCell ref="L111:M111"/>
    <ns0:mergeCell ref="N111:O111"/>
    <ns0:mergeCell ref="P111:Q111"/>
    <ns0:mergeCell ref="D105:E105"/>
    <ns0:mergeCell ref="F105:G105"/>
    <ns0:mergeCell ref="H105:I105"/>
    <ns0:mergeCell ref="J105:K105"/>
    <ns0:mergeCell ref="L105:M105"/>
    <ns0:mergeCell ref="N103:O103"/>
    <ns0:mergeCell ref="P103:Q103"/>
    <ns0:mergeCell ref="D104:E104"/>
    <ns0:mergeCell ref="F104:G104"/>
    <ns0:mergeCell ref="H104:I104"/>
    <ns0:mergeCell ref="J104:K104"/>
    <ns0:mergeCell ref="L104:M104"/>
    <ns0:mergeCell ref="N104:O104"/>
    <ns0:mergeCell ref="P104:Q104"/>
    <ns0:mergeCell ref="D103:E103"/>
    <ns0:mergeCell ref="F103:G103"/>
    <ns0:mergeCell ref="H103:I103"/>
    <ns0:mergeCell ref="J103:K103"/>
    <ns0:mergeCell ref="L103:M103"/>
    <ns0:mergeCell ref="L107:P107"/>
    <ns0:mergeCell ref="H114:I114"/>
    <ns0:mergeCell ref="J114:K114"/>
    <ns0:mergeCell ref="L114:M114"/>
    <ns0:mergeCell ref="N112:O112"/>
    <ns0:mergeCell ref="P112:Q112"/>
    <ns0:mergeCell ref="D113:E113"/>
    <ns0:mergeCell ref="F113:G113"/>
    <ns0:mergeCell ref="H113:I113"/>
    <ns0:mergeCell ref="J113:K113"/>
    <ns0:mergeCell ref="L113:M113"/>
    <ns0:mergeCell ref="N113:O113"/>
    <ns0:mergeCell ref="P113:Q113"/>
    <ns0:mergeCell ref="D112:E112"/>
    <ns0:mergeCell ref="F112:G112"/>
    <ns0:mergeCell ref="H112:I112"/>
    <ns0:mergeCell ref="J112:K112"/>
    <ns0:mergeCell ref="L112:M112"/>
    <ns0:mergeCell ref="N118:O118"/>
    <ns0:mergeCell ref="P118:Q118"/>
    <ns0:mergeCell ref="D119:E119"/>
    <ns0:mergeCell ref="F119:G119"/>
    <ns0:mergeCell ref="H119:I119"/>
    <ns0:mergeCell ref="J119:K119"/>
    <ns0:mergeCell ref="L119:M119"/>
    <ns0:mergeCell ref="N119:O119"/>
    <ns0:mergeCell ref="P119:Q119"/>
    <ns0:mergeCell ref="D118:E118"/>
    <ns0:mergeCell ref="F118:G118"/>
    <ns0:mergeCell ref="H118:I118"/>
    <ns0:mergeCell ref="J118:K118"/>
    <ns0:mergeCell ref="L118:M118"/>
    <ns0:mergeCell ref="N116:O116"/>
    <ns0:mergeCell ref="P116:Q116"/>
    <ns0:mergeCell ref="D117:E117"/>
    <ns0:mergeCell ref="F117:G117"/>
    <ns0:mergeCell ref="H117:I117"/>
    <ns0:mergeCell ref="J117:K117"/>
    <ns0:mergeCell ref="L117:M117"/>
    <ns0:mergeCell ref="N117:O117"/>
    <ns0:mergeCell ref="P117:Q117"/>
    <ns0:mergeCell ref="D116:E116"/>
    <ns0:mergeCell ref="F116:G116"/>
    <ns0:mergeCell ref="H116:I116"/>
    <ns0:mergeCell ref="J116:K116"/>
    <ns0:mergeCell ref="L116:M116"/>
    <ns0:mergeCell ref="P127:Q127"/>
    <ns0:mergeCell ref="D126:E126"/>
    <ns0:mergeCell ref="F126:G126"/>
    <ns0:mergeCell ref="H126:I126"/>
    <ns0:mergeCell ref="J126:K126"/>
    <ns0:mergeCell ref="L126:M126"/>
    <ns0:mergeCell ref="N124:O124"/>
    <ns0:mergeCell ref="P124:Q124"/>
    <ns0:mergeCell ref="D125:E125"/>
    <ns0:mergeCell ref="F125:G125"/>
    <ns0:mergeCell ref="H125:I125"/>
    <ns0:mergeCell ref="N120:O120"/>
    <ns0:mergeCell ref="P120:Q120"/>
    <ns0:mergeCell ref="D121:E121"/>
    <ns0:mergeCell ref="F121:G121"/>
    <ns0:mergeCell ref="H121:I121"/>
    <ns0:mergeCell ref="J121:K121"/>
    <ns0:mergeCell ref="L121:M121"/>
    <ns0:mergeCell ref="N121:O121"/>
    <ns0:mergeCell ref="P121:Q121"/>
    <ns0:mergeCell ref="D120:E120"/>
    <ns0:mergeCell ref="F120:G120"/>
    <ns0:mergeCell ref="H120:I120"/>
    <ns0:mergeCell ref="J120:K120"/>
    <ns0:mergeCell ref="L120:M120"/>
    <ns0:mergeCell ref="D41:E41"/>
    <ns0:mergeCell ref="F41:G41"/>
    <ns0:mergeCell ref="H41:I41"/>
    <ns0:mergeCell ref="J41:K41"/>
    <ns0:mergeCell ref="L41:M41"/>
    <ns0:mergeCell ref="N41:O41"/>
    <ns0:mergeCell ref="P41:Q41"/>
    <ns0:mergeCell ref="D130:E130"/>
    <ns0:mergeCell ref="F130:G130"/>
    <ns0:mergeCell ref="H130:I130"/>
    <ns0:mergeCell ref="J130:K130"/>
    <ns0:mergeCell ref="L130:M130"/>
    <ns0:mergeCell ref="N128:O128"/>
    <ns0:mergeCell ref="P128:Q128"/>
    <ns0:mergeCell ref="D129:E129"/>
    <ns0:mergeCell ref="F129:G129"/>
    <ns0:mergeCell ref="N46:O46"/>
    <ns0:mergeCell ref="P46:Q46"/>
    <ns0:mergeCell ref="J129:K129"/>
    <ns0:mergeCell ref="L129:M129"/>
    <ns0:mergeCell ref="N129:O129"/>
    <ns0:mergeCell ref="N122:O122"/>
    <ns0:mergeCell ref="P122:Q122"/>
    <ns0:mergeCell ref="D123:E123"/>
    <ns0:mergeCell ref="F123:G123"/>
    <ns0:mergeCell ref="H123:I123"/>
    <ns0:mergeCell ref="J123:K123"/>
    <ns0:mergeCell ref="L123:M123"/>
    <ns0:mergeCell ref="N123:O123"/>
    <ns0:mergeCell ref="P123:Q123"/>
    <ns0:mergeCell ref="D122:E122"/>
    <ns0:mergeCell ref="F122:G122"/>
    <ns0:mergeCell ref="D46:E46"/>
    <ns0:mergeCell ref="L46:M46"/>
    <ns0:mergeCell ref="N44:O44"/>
    <ns0:mergeCell ref="P44:Q44"/>
    <ns0:mergeCell ref="H129:I129"/>
    <ns0:mergeCell ref="F45:G45"/>
    <ns0:mergeCell ref="H45:I45"/>
    <ns0:mergeCell ref="J45:K45"/>
    <ns0:mergeCell ref="L45:M45"/>
    <ns0:mergeCell ref="N45:O45"/>
    <ns0:mergeCell ref="P45:Q45"/>
    <ns0:mergeCell ref="D44:E44"/>
    <ns0:mergeCell ref="F44:G44"/>
    <ns0:mergeCell ref="H44:I44"/>
    <ns0:mergeCell ref="J44:K44"/>
    <ns0:mergeCell ref="L44:M44"/>
    <ns0:mergeCell ref="N50:O50"/>
    <ns0:mergeCell ref="P50:Q50"/>
    <ns0:mergeCell ref="F46:G46"/>
    <ns0:mergeCell ref="H46:I46"/>
    <ns0:mergeCell ref="J46:K46"/>
    <ns0:mergeCell ref="F50:G50"/>
    <ns0:mergeCell ref="H50:I50"/>
    <ns0:mergeCell ref="J50:K50"/>
    <ns0:mergeCell ref="L50:M50"/>
    <ns0:mergeCell ref="H48:I48"/>
    <ns0:mergeCell ref="J125:K125"/>
    <ns0:mergeCell ref="L125:M125"/>
    <ns0:mergeCell ref="N125:O125"/>
    <ns0:mergeCell ref="P125:Q125"/>
    <ns0:mergeCell ref="D124:E124"/>
    <ns0:mergeCell ref="F124:G124"/>
    <ns0:mergeCell ref="D131:E131"/>
    <ns0:mergeCell ref="F131:G131"/>
    <ns0:mergeCell ref="P129:Q129"/>
    <ns0:mergeCell ref="D128:E128"/>
    <ns0:mergeCell ref="F128:G128"/>
    <ns0:mergeCell ref="H128:I128"/>
    <ns0:mergeCell ref="J128:K128"/>
    <ns0:mergeCell ref="L128:M128"/>
    <ns0:mergeCell ref="L156:M156"/>
    <ns0:mergeCell ref="N156:O156"/>
    <ns0:mergeCell ref="P156:Q156"/>
    <ns0:mergeCell ref="F47:G47"/>
    <ns0:mergeCell ref="H47:I47"/>
    <ns0:mergeCell ref="J47:K47"/>
    <ns0:mergeCell ref="L47:M47"/>
    <ns0:mergeCell ref="N47:O47"/>
    <ns0:mergeCell ref="P47:Q47"/>
    <ns0:mergeCell ref="H124:I124"/>
    <ns0:mergeCell ref="J124:K124"/>
    <ns0:mergeCell ref="L124:M124"/>
    <ns0:mergeCell ref="N126:O126"/>
    <ns0:mergeCell ref="P126:Q126"/>
    <ns0:mergeCell ref="D127:E127"/>
    <ns0:mergeCell ref="N130:O130"/>
    <ns0:mergeCell ref="P130:Q130"/>
    <ns0:mergeCell ref="H122:I122"/>
    <ns0:mergeCell ref="J122:K122"/>
    <ns0:mergeCell ref="L122:M122"/>
    <ns0:mergeCell ref="H127:I127"/>
    <ns0:mergeCell ref="J127:K127"/>
    <ns0:mergeCell ref="L127:M127"/>
    <ns0:mergeCell ref="N127:O127"/>
    <ns0:mergeCell ref="N157:O157"/>
    <ns0:mergeCell ref="P157:Q157"/>
    <ns0:mergeCell ref="D158:E158"/>
    <ns0:mergeCell ref="F158:G158"/>
    <ns0:mergeCell ref="H158:I158"/>
    <ns0:mergeCell ref="J158:K158"/>
    <ns0:mergeCell ref="L158:M158"/>
    <ns0:mergeCell ref="N158:O158"/>
    <ns0:mergeCell ref="P158:Q158"/>
    <ns0:mergeCell ref="D157:E157"/>
    <ns0:mergeCell ref="F157:G157"/>
    <ns0:mergeCell ref="H157:I157"/>
    <ns0:mergeCell ref="J157:K157"/>
    <ns0:mergeCell ref="L157:M157"/>
    <ns0:mergeCell ref="D156:E156"/>
    <ns0:mergeCell ref="F156:G156"/>
    <ns0:mergeCell ref="H156:I156"/>
    <ns0:mergeCell ref="J156:K156"/>
    <ns0:mergeCell ref="H131:I131"/>
    <ns0:mergeCell ref="J131:K131"/>
    <ns0:mergeCell ref="L131:M131"/>
    <ns0:mergeCell ref="N131:O131"/>
    <ns0:mergeCell ref="P131:Q131"/>
    <ns0:mergeCell ref="D165:E165"/>
    <ns0:mergeCell ref="F165:G165"/>
    <ns0:mergeCell ref="H165:I165"/>
    <ns0:mergeCell ref="J165:K165"/>
    <ns0:mergeCell ref="L165:M165"/>
    <ns0:mergeCell ref="N163:O163"/>
    <ns0:mergeCell ref="P163:Q163"/>
    <ns0:mergeCell ref="D164:E164"/>
    <ns0:mergeCell ref="F164:G164"/>
    <ns0:mergeCell ref="H164:I164"/>
    <ns0:mergeCell ref="J164:K164"/>
    <ns0:mergeCell ref="L164:M164"/>
    <ns0:mergeCell ref="N164:O164"/>
    <ns0:mergeCell ref="P164:Q164"/>
    <ns0:mergeCell ref="D163:E163"/>
    <ns0:mergeCell ref="F163:G163"/>
    <ns0:mergeCell ref="H163:I163"/>
    <ns0:mergeCell ref="J163:K163"/>
    <ns0:mergeCell ref="L163:M163"/>
    <ns0:mergeCell ref="N161:O161"/>
    <ns0:mergeCell ref="P161:Q161"/>
    <ns0:mergeCell ref="D162:E162"/>
    <ns0:mergeCell ref="F162:G162"/>
    <ns0:mergeCell ref="H162:I162"/>
    <ns0:mergeCell ref="J162:K162"/>
    <ns0:mergeCell ref="N134:O134"/>
    <ns0:mergeCell ref="P134:Q134"/>
    <ns0:mergeCell ref="F135:G135"/>
    <ns0:mergeCell ref="H135:I135"/>
    <ns0:mergeCell ref="J135:K135"/>
    <ns0:mergeCell ref="L135:M135"/>
    <ns0:mergeCell ref="N135:O135"/>
    <ns0:mergeCell ref="P135:Q135"/>
    <ns0:mergeCell ref="D134:E134"/>
    <ns0:mergeCell ref="F134:G134"/>
    <ns0:mergeCell ref="H134:I134"/>
    <ns0:mergeCell ref="J134:K134"/>
    <ns0:mergeCell ref="L134:M134"/>
    <ns0:mergeCell ref="J137:K137"/>
    <ns0:mergeCell ref="L137:M137"/>
    <ns0:mergeCell ref="N137:O137"/>
    <ns0:mergeCell ref="P137:Q137"/>
    <ns0:mergeCell ref="D136:E136"/>
    <ns0:mergeCell ref="F136:G136"/>
    <ns0:mergeCell ref="H136:I136"/>
    <ns0:mergeCell ref="J136:K136"/>
    <ns0:mergeCell ref="L136:M136"/>
    <ns0:mergeCell ref="N132:O132"/>
    <ns0:mergeCell ref="P132:Q132"/>
    <ns0:mergeCell ref="D133:E133"/>
    <ns0:mergeCell ref="F133:G133"/>
    <ns0:mergeCell ref="H133:I133"/>
    <ns0:mergeCell ref="J133:K133"/>
    <ns0:mergeCell ref="L133:M133"/>
    <ns0:mergeCell ref="N133:O133"/>
    <ns0:mergeCell ref="P133:Q133"/>
    <ns0:mergeCell ref="D132:E132"/>
    <ns0:mergeCell ref="F132:G132"/>
    <ns0:mergeCell ref="H132:I132"/>
    <ns0:mergeCell ref="J132:K132"/>
    <ns0:mergeCell ref="L132:M132"/>
    <ns0:mergeCell ref="N138:O138"/>
    <ns0:mergeCell ref="P138:Q138"/>
    <ns0:mergeCell ref="D139:E139"/>
    <ns0:mergeCell ref="H139:I139"/>
    <ns0:mergeCell ref="J139:K139"/>
    <ns0:mergeCell ref="L139:M139"/>
    <ns0:mergeCell ref="N139:O139"/>
    <ns0:mergeCell ref="P139:Q139"/>
    <ns0:mergeCell ref="D138:E138"/>
    <ns0:mergeCell ref="F138:G138"/>
    <ns0:mergeCell ref="H138:I138"/>
    <ns0:mergeCell ref="J138:K138"/>
    <ns0:mergeCell ref="L138:M138"/>
    <ns0:mergeCell ref="N136:O136"/>
    <ns0:mergeCell ref="P136:Q136"/>
    <ns0:mergeCell ref="D137:E137"/>
    <ns0:mergeCell ref="F137:G137"/>
    <ns0:mergeCell ref="H137:I137"/>
    <ns0:mergeCell ref="N140:O140"/>
    <ns0:mergeCell ref="P140:Q140"/>
    <ns0:mergeCell ref="F236:G236"/>
    <ns0:mergeCell ref="D140:E140"/>
    <ns0:mergeCell ref="F140:G140"/>
    <ns0:mergeCell ref="H140:I140"/>
    <ns0:mergeCell ref="J140:K140"/>
    <ns0:mergeCell ref="L140:M140"/>
    <ns0:mergeCell ref="N165:O165"/>
    <ns0:mergeCell ref="P165:Q165"/>
    <ns0:mergeCell ref="L162:M162"/>
    <ns0:mergeCell ref="N162:O162"/>
    <ns0:mergeCell ref="P162:Q162"/>
    <ns0:mergeCell ref="D161:E161"/>
    <ns0:mergeCell ref="F161:G161"/>
    <ns0:mergeCell ref="H161:I161"/>
    <ns0:mergeCell ref="J161:K161"/>
    <ns0:mergeCell ref="L161:M161"/>
    <ns0:mergeCell ref="N159:O159"/>
    <ns0:mergeCell ref="P159:Q159"/>
    <ns0:mergeCell ref="D160:E160"/>
    <ns0:mergeCell ref="F160:G160"/>
    <ns0:mergeCell ref="H160:I160"/>
    <ns0:mergeCell ref="J160:K160"/>
    <ns0:mergeCell ref="L160:M160"/>
    <ns0:mergeCell ref="N160:O160"/>
    <ns0:mergeCell ref="P160:Q160"/>
    <ns0:mergeCell ref="D159:E159"/>
    <ns0:mergeCell ref="F159:G159"/>
    <ns0:mergeCell ref="H159:I159"/>
    <ns0:mergeCell ref="J159:K159"/>
    <ns0:mergeCell ref="L159:M159"/>
    <ns0:mergeCell ref="D236:E236"/>
    <ns0:mergeCell ref="D237:E237"/>
    <ns0:mergeCell ref="P239:Q239"/>
    <ns0:mergeCell ref="N239:O239"/>
    <ns0:mergeCell ref="N243:O243"/>
    <ns0:mergeCell ref="N244:O244"/>
    <ns0:mergeCell ref="F239:G239"/>
    <ns0:mergeCell ref="D239:E239"/>
    <ns0:mergeCell ref="D238:E238"/>
    <ns0:mergeCell ref="L239:M239"/>
    <ns0:mergeCell ref="J239:K239"/>
    <ns0:mergeCell ref="H239:I239"/>
    <ns0:mergeCell ref="F243:G243"/>
    <ns0:mergeCell ref="H243:I243"/>
    <ns0:mergeCell ref="J243:K243"/>
    <ns0:mergeCell ref="L243:M243"/>
    <ns0:mergeCell ref="D243:E243"/>
    <ns0:mergeCell ref="D242:Q242"/>
    <ns0:mergeCell ref="N237:O237"/>
    <ns0:mergeCell ref="P237:Q237"/>
    <ns0:mergeCell ref="P236:Q236"/>
    <ns0:mergeCell ref="N236:O236"/>
    <ns0:mergeCell ref="L236:M236"/>
    <ns0:mergeCell ref="F237:G237"/>
    <ns0:mergeCell ref="H237:I237"/>
    <ns0:mergeCell ref="J237:K237"/>
    <ns0:mergeCell ref="L237:M237"/>
    <ns0:mergeCell ref="D244:E244"/>
    <ns0:mergeCell ref="F244:G244"/>
    <ns0:mergeCell ref="H244:I244"/>
    <ns0:mergeCell ref="J244:K244"/>
    <ns0:mergeCell ref="L244:M244"/>
    <ns0:mergeCell ref="L253:M253"/>
    <ns0:mergeCell ref="N253:O253"/>
    <ns0:mergeCell ref="N252:O252"/>
    <ns0:mergeCell ref="F238:G238"/>
    <ns0:mergeCell ref="H238:I238"/>
    <ns0:mergeCell ref="J238:K238"/>
    <ns0:mergeCell ref="L238:M238"/>
    <ns0:mergeCell ref="N238:O238"/>
    <ns0:mergeCell ref="P238:Q238"/>
    <ns0:mergeCell ref="J236:K236"/>
    <ns0:mergeCell ref="H236:I236"/>
    <ns0:mergeCell ref="H247:I247"/>
    <ns0:mergeCell ref="H248:I248"/>
    <ns0:mergeCell ref="F248:G248"/>
    <ns0:mergeCell ref="F253:G253"/>
    <ns0:mergeCell ref="F252:G252"/>
    <ns0:mergeCell ref="F251:G251"/>
    <ns0:mergeCell ref="P251:Q251"/>
    <ns0:mergeCell ref="P243:Q243"/>
    <ns0:mergeCell ref="P244:Q244"/>
    <ns0:mergeCell ref="P249:Q249"/>
    <ns0:mergeCell ref="P250:Q250"/>
    <ns0:mergeCell ref="P247:Q247"/>
    <ns0:mergeCell ref="P248:Q248"/>
    <ns0:mergeCell ref="J252:K252"/>
    <ns0:mergeCell ref="J251:K251"/>
    <ns0:mergeCell ref="J250:K250"/>
    <ns0:mergeCell ref="P253:Q253"/>
    <ns0:mergeCell ref="P252:Q252"/>
    <ns0:mergeCell ref="N251:O251"/>
    <ns0:mergeCell ref="N246:O246"/>
    <ns0:mergeCell ref="P246:Q246"/>
    <ns0:mergeCell ref="A7:B7"/>
    <ns0:mergeCell ref="A244:B244"/>
    <ns0:mergeCell ref="C266:T266"/>
    <ns0:mergeCell ref="C268:T268"/>
    <ns0:mergeCell ref="C269:T269"/>
    <ns0:mergeCell ref="C270:T270"/>
    <ns0:mergeCell ref="C271:T271"/>
    <ns0:mergeCell ref="C272:T272"/>
    <ns0:mergeCell ref="C275:T275"/>
    <ns0:mergeCell ref="C276:T276"/>
    <ns0:mergeCell ref="C278:T278"/>
    <ns0:mergeCell ref="C279:T279"/>
    <ns0:mergeCell ref="D264:E264"/>
    <ns0:mergeCell ref="S37:T37"/>
    <ns0:mergeCell ref="B38:D38"/>
    <ns0:mergeCell ref="E38:G38"/>
    <ns0:mergeCell ref="D252:E252"/>
    <ns0:mergeCell ref="D251:E251"/>
    <ns0:mergeCell ref="D250:E250"/>
    <ns0:mergeCell ref="D249:E249"/>
    <ns0:mergeCell ref="F247:G247"/>
    <ns0:mergeCell ref="D247:E247"/>
    <ns0:mergeCell ref="D248:E248"/>
    <ns0:mergeCell ref="D253:E253"/>
    <ns0:mergeCell ref="F250:G250"/>
    <ns0:mergeCell ref="F249:G249"/>
    <ns0:mergeCell ref="N250:O250"/>
    <ns0:mergeCell ref="N249:O249"/>
    <ns0:mergeCell ref="N247:O247"/>
    <ns0:mergeCell ref="N248:O248"/>
    <ns0:mergeCell ref="H253:I253"/>
    <ns0:mergeCell ref="H252:I252"/>
    <ns0:mergeCell ref="N51:O51"/>
    <ns0:mergeCell ref="P51:Q51"/>
    <ns0:mergeCell ref="D52:E52"/>
    <ns0:mergeCell ref="F52:G52"/>
    <ns0:mergeCell ref="H52:I52"/>
    <ns0:mergeCell ref="J52:K52"/>
    <ns0:mergeCell ref="L52:M52"/>
    <ns0:mergeCell ref="N52:O52"/>
    <ns0:mergeCell ref="C284:T284"/>
    <ns0:mergeCell ref="C285:T285"/>
    <ns0:mergeCell ref="C287:T287"/>
    <ns0:mergeCell ref="C291:T291"/>
    <ns0:mergeCell ref="P5:Q5"/>
    <ns0:mergeCell ref="N5:O5"/>
    <ns0:mergeCell ref="L5:M5"/>
    <ns0:mergeCell ref="J5:K5"/>
    <ns0:mergeCell ref="H5:I5"/>
    <ns0:mergeCell ref="F5:G5"/>
    <ns0:mergeCell ref="D5:E5"/>
    <ns0:mergeCell ref="H251:I251"/>
    <ns0:mergeCell ref="H250:I250"/>
    <ns0:mergeCell ref="H249:I249"/>
    <ns0:mergeCell ref="J253:K253"/>
    <ns0:mergeCell ref="J249:K249"/>
    <ns0:mergeCell ref="J247:K247"/>
    <ns0:mergeCell ref="J248:K248"/>
    <ns0:mergeCell ref="L248:M248"/>
    <ns0:mergeCell ref="L247:M247"/>
    <ns0:mergeCell ref="L249:M249"/>
    <ns0:mergeCell ref="L250:M250"/>
    <ns0:mergeCell ref="L251:M251"/>
    <ns0:mergeCell ref="L252:M252"/>
    <ns0:mergeCell ref="C274:T274"/>
    <ns0:mergeCell ref="C280:T280"/>
    <ns0:mergeCell ref="C281:T281"/>
    <ns0:mergeCell ref="C282:T282"/>
    <ns0:mergeCell ref="C283:T283"/>
    <ns0:mergeCell ref="C288:T288"/>
    <ns0:mergeCell ref="C289:T289"/>
    <ns0:mergeCell ref="C290:T290"/>
    <ns0:mergeCell ref="L71:P71"/>
    <ns0:mergeCell ref="L72:P72"/>
    <ns0:mergeCell ref="S72:T72"/>
    <ns0:mergeCell ref="B73:D73"/>
    <ns0:mergeCell ref="E73:G73"/>
    <ns0:mergeCell ref="L73:P73"/>
    <ns0:mergeCell ref="Q73:T73"/>
    <ns0:mergeCell ref="N48:O48"/>
    <ns0:mergeCell ref="P48:Q48"/>
    <ns0:mergeCell ref="D49:E49"/>
    <ns0:mergeCell ref="F49:G49"/>
    <ns0:mergeCell ref="H49:I49"/>
    <ns0:mergeCell ref="J49:K49"/>
    <ns0:mergeCell ref="L49:M49"/>
    <ns0:mergeCell ref="N49:O49"/>
    <ns0:mergeCell ref="P49:Q49"/>
    <ns0:mergeCell ref="D48:E48"/>
    <ns0:mergeCell ref="F48:G48"/>
    <ns0:mergeCell ref="J48:K48"/>
    <ns0:mergeCell ref="L48:M48"/>
    <ns0:mergeCell ref="D50:E50"/>
    <ns0:mergeCell ref="H51:I51"/>
    <ns0:mergeCell ref="J51:K51"/>
    <ns0:mergeCell ref="L51:M51"/>
  </ns0:mergeCells>
  <ns0:phoneticPr fontId="0" type="noConversion"/>
  <ns0:conditionalFormatting sqref="R6:R8">
    <ns0:cfRule type="cellIs" dxfId="61" priority="53" operator="greaterThan">
      <ns0:formula>40</ns0:formula>
    </ns0:cfRule>
  </ns0:conditionalFormatting>
  <ns0:conditionalFormatting sqref="R16:R18">
    <ns0:cfRule type="cellIs" dxfId="60" priority="41" operator="greaterThan">
      <ns0:formula>40</ns0:formula>
    </ns0:cfRule>
  </ns0:conditionalFormatting>
  <ns0:conditionalFormatting sqref="R26:R28">
    <ns0:cfRule type="cellIs" dxfId="59" priority="40" operator="greaterThan">
      <ns0:formula>40</ns0:formula>
    </ns0:cfRule>
  </ns0:conditionalFormatting>
  <ns0:conditionalFormatting sqref="R41:R43">
    <ns0:cfRule type="cellIs" dxfId="58" priority="52" operator="greaterThan">
      <ns0:formula>40</ns0:formula>
    </ns0:cfRule>
  </ns0:conditionalFormatting>
  <ns0:conditionalFormatting sqref="R51:R53">
    <ns0:cfRule type="cellIs" dxfId="57" priority="51" operator="greaterThan">
      <ns0:formula>40</ns0:formula>
    </ns0:cfRule>
  </ns0:conditionalFormatting>
  <ns0:conditionalFormatting sqref="R61:R63">
    <ns0:cfRule type="cellIs" dxfId="56" priority="50" operator="greaterThan">
      <ns0:formula>40</ns0:formula>
    </ns0:cfRule>
  </ns0:conditionalFormatting>
  <ns0:conditionalFormatting sqref="R76:R78">
    <ns0:cfRule type="cellIs" dxfId="55" priority="49" operator="greaterThan">
      <ns0:formula>40</ns0:formula>
    </ns0:cfRule>
  </ns0:conditionalFormatting>
  <ns0:conditionalFormatting sqref="R86:R88">
    <ns0:cfRule type="cellIs" dxfId="54" priority="48" operator="greaterThan">
      <ns0:formula>40</ns0:formula>
    </ns0:cfRule>
  </ns0:conditionalFormatting>
  <ns0:conditionalFormatting sqref="R96:R98">
    <ns0:cfRule type="cellIs" dxfId="53" priority="47" operator="greaterThan">
      <ns0:formula>40</ns0:formula>
    </ns0:cfRule>
  </ns0:conditionalFormatting>
  <ns0:conditionalFormatting sqref="R111:R113">
    <ns0:cfRule type="cellIs" dxfId="52" priority="46" operator="greaterThan">
      <ns0:formula>40</ns0:formula>
    </ns0:cfRule>
  </ns0:conditionalFormatting>
  <ns0:conditionalFormatting sqref="R121:R123">
    <ns0:cfRule type="cellIs" dxfId="51" priority="45" operator="greaterThan">
      <ns0:formula>40</ns0:formula>
    </ns0:cfRule>
  </ns0:conditionalFormatting>
  <ns0:conditionalFormatting sqref="R131:R133">
    <ns0:cfRule type="cellIs" dxfId="50" priority="44" operator="greaterThan">
      <ns0:formula>40</ns0:formula>
    </ns0:cfRule>
  </ns0:conditionalFormatting>
  <ns0:conditionalFormatting sqref="R146:R148">
    <ns0:cfRule type="cellIs" dxfId="49" priority="43" operator="greaterThan">
      <ns0:formula>40</ns0:formula>
    </ns0:cfRule>
  </ns0:conditionalFormatting>
  <ns0:conditionalFormatting sqref="R156:R158">
    <ns0:cfRule type="cellIs" dxfId="48" priority="42" operator="greaterThan">
      <ns0:formula>40</ns0:formula>
    </ns0:cfRule>
  </ns0:conditionalFormatting>
  <ns0:conditionalFormatting sqref="R166:R168">
    <ns0:cfRule type="cellIs" dxfId="47" priority="30" operator="greaterThan">
      <ns0:formula>40</ns0:formula>
    </ns0:cfRule>
  </ns0:conditionalFormatting>
  <ns0:conditionalFormatting sqref="R181:R183">
    <ns0:cfRule type="cellIs" dxfId="46" priority="29" operator="greaterThan">
      <ns0:formula>40</ns0:formula>
    </ns0:cfRule>
  </ns0:conditionalFormatting>
  <ns0:conditionalFormatting sqref="R191:R193">
    <ns0:cfRule type="cellIs" dxfId="45" priority="28" operator="greaterThan">
      <ns0:formula>40</ns0:formula>
    </ns0:cfRule>
  </ns0:conditionalFormatting>
  <ns0:conditionalFormatting sqref="R201:R203">
    <ns0:cfRule type="cellIs" dxfId="44" priority="27" operator="greaterThan">
      <ns0:formula>40</ns0:formula>
    </ns0:cfRule>
  </ns0:conditionalFormatting>
  <ns0:conditionalFormatting sqref="R216:R218">
    <ns0:cfRule type="cellIs" dxfId="43" priority="26" operator="greaterThan">
      <ns0:formula>40</ns0:formula>
    </ns0:cfRule>
  </ns0:conditionalFormatting>
  <ns0:conditionalFormatting sqref="R226:R228">
    <ns0:cfRule type="cellIs" dxfId="42" priority="25" operator="greaterThan">
      <ns0:formula>40</ns0:formula>
    </ns0:cfRule>
  </ns0:conditionalFormatting>
  <ns0:conditionalFormatting sqref="S244">
    <ns0:cfRule type="cellIs" dxfId="41" priority="78" operator="equal">
      <ns0:formula>$R$15</ns0:formula>
    </ns0:cfRule>
    <ns0:cfRule type="cellIs" dxfId="40" priority="79" operator="notEqual">
      <ns0:formula>$R$15</ns0:formula>
    </ns0:cfRule>
  </ns0:conditionalFormatting>
  <ns0:conditionalFormatting sqref="S245:T245">
    <ns0:cfRule type="cellIs" dxfId="39" priority="33" operator="equal">
      <ns0:formula>$R$25</ns0:formula>
    </ns0:cfRule>
    <ns0:cfRule type="cellIs" dxfId="38" priority="34" operator="notEqual">
      <ns0:formula>$R$25</ns0:formula>
    </ns0:cfRule>
  </ns0:conditionalFormatting>
  <ns0:conditionalFormatting sqref="S246:T246">
    <ns0:cfRule type="cellIs" dxfId="37" priority="31" operator="equal">
      <ns0:formula>$R$35</ns0:formula>
    </ns0:cfRule>
    <ns0:cfRule type="cellIs" dxfId="36" priority="32" operator="notEqual">
      <ns0:formula>$R$35</ns0:formula>
    </ns0:cfRule>
  </ns0:conditionalFormatting>
  <ns0:conditionalFormatting sqref="S247:T247">
    <ns0:cfRule type="cellIs" dxfId="35" priority="77" operator="equal">
      <ns0:formula>$R$50</ns0:formula>
    </ns0:cfRule>
    <ns0:cfRule type="cellIs" dxfId="34" priority="76" operator="notEqual">
      <ns0:formula>$R$50</ns0:formula>
    </ns0:cfRule>
  </ns0:conditionalFormatting>
  <ns0:conditionalFormatting sqref="S248:T248">
    <ns0:cfRule type="cellIs" dxfId="33" priority="75" operator="equal">
      <ns0:formula>$R$60</ns0:formula>
    </ns0:cfRule>
    <ns0:cfRule type="cellIs" dxfId="32" priority="74" operator="notEqual">
      <ns0:formula>$R$60</ns0:formula>
    </ns0:cfRule>
  </ns0:conditionalFormatting>
  <ns0:conditionalFormatting sqref="S249:T249">
    <ns0:cfRule type="cellIs" dxfId="31" priority="73" operator="equal">
      <ns0:formula>$R$70</ns0:formula>
    </ns0:cfRule>
    <ns0:cfRule type="cellIs" dxfId="30" priority="72" operator="notEqual">
      <ns0:formula>$R$70</ns0:formula>
    </ns0:cfRule>
  </ns0:conditionalFormatting>
  <ns0:conditionalFormatting sqref="S250:T250">
    <ns0:cfRule type="cellIs" dxfId="29" priority="70" operator="notEqual">
      <ns0:formula>$R$85</ns0:formula>
    </ns0:cfRule>
    <ns0:cfRule type="cellIs" dxfId="28" priority="71" operator="equal">
      <ns0:formula>$R$85</ns0:formula>
    </ns0:cfRule>
  </ns0:conditionalFormatting>
  <ns0:conditionalFormatting sqref="S251:T251">
    <ns0:cfRule type="cellIs" dxfId="27" priority="68" operator="notEqual">
      <ns0:formula>$R$95</ns0:formula>
    </ns0:cfRule>
    <ns0:cfRule type="cellIs" dxfId="26" priority="69" operator="equal">
      <ns0:formula>$R$95</ns0:formula>
    </ns0:cfRule>
  </ns0:conditionalFormatting>
  <ns0:conditionalFormatting sqref="S252:T252">
    <ns0:cfRule type="cellIs" dxfId="25" priority="66" operator="equal">
      <ns0:formula>$R$105</ns0:formula>
    </ns0:cfRule>
    <ns0:cfRule type="cellIs" dxfId="24" priority="67" operator="notEqual">
      <ns0:formula>$R$105</ns0:formula>
    </ns0:cfRule>
  </ns0:conditionalFormatting>
  <ns0:conditionalFormatting sqref="S253:T253">
    <ns0:cfRule type="cellIs" dxfId="23" priority="20" operator="equal">
      <ns0:formula>$R$120</ns0:formula>
    </ns0:cfRule>
    <ns0:cfRule type="cellIs" dxfId="22" priority="19" operator="notEqual">
      <ns0:formula>$R$120</ns0:formula>
    </ns0:cfRule>
  </ns0:conditionalFormatting>
  <ns0:conditionalFormatting sqref="S254:T254">
    <ns0:cfRule type="cellIs" dxfId="21" priority="21" operator="notEqual">
      <ns0:formula>$R$130</ns0:formula>
    </ns0:cfRule>
    <ns0:cfRule type="cellIs" dxfId="20" priority="22" operator="equal">
      <ns0:formula>$R$130</ns0:formula>
    </ns0:cfRule>
  </ns0:conditionalFormatting>
  <ns0:conditionalFormatting sqref="S255:T255">
    <ns0:cfRule type="cellIs" dxfId="19" priority="18" operator="equal">
      <ns0:formula>$R$140</ns0:formula>
    </ns0:cfRule>
    <ns0:cfRule type="cellIs" dxfId="18" priority="17" operator="notEqual">
      <ns0:formula>$R$140</ns0:formula>
    </ns0:cfRule>
  </ns0:conditionalFormatting>
  <ns0:conditionalFormatting sqref="S256:T256">
    <ns0:cfRule type="cellIs" dxfId="17" priority="15" operator="notEqual">
      <ns0:formula>$R$155</ns0:formula>
    </ns0:cfRule>
    <ns0:cfRule type="cellIs" dxfId="16" priority="16" operator="equal">
      <ns0:formula>$R$155</ns0:formula>
    </ns0:cfRule>
  </ns0:conditionalFormatting>
  <ns0:conditionalFormatting sqref="S257:T257">
    <ns0:cfRule type="cellIs" dxfId="15" priority="14" operator="equal">
      <ns0:formula>$R$165</ns0:formula>
    </ns0:cfRule>
    <ns0:cfRule type="cellIs" dxfId="14" priority="13" operator="notEqual">
      <ns0:formula>$R$165</ns0:formula>
    </ns0:cfRule>
  </ns0:conditionalFormatting>
  <ns0:conditionalFormatting sqref="S258:T258">
    <ns0:cfRule type="cellIs" dxfId="13" priority="12" operator="equal">
      <ns0:formula>$R$175</ns0:formula>
    </ns0:cfRule>
    <ns0:cfRule type="cellIs" dxfId="12" priority="11" operator="notEqual">
      <ns0:formula>$R$175</ns0:formula>
    </ns0:cfRule>
  </ns0:conditionalFormatting>
  <ns0:conditionalFormatting sqref="S259:T259">
    <ns0:cfRule type="cellIs" dxfId="11" priority="10" operator="equal">
      <ns0:formula>$R$190</ns0:formula>
    </ns0:cfRule>
    <ns0:cfRule type="cellIs" dxfId="10" priority="9" operator="notEqual">
      <ns0:formula>$R$190</ns0:formula>
    </ns0:cfRule>
  </ns0:conditionalFormatting>
  <ns0:conditionalFormatting sqref="S260:T260">
    <ns0:cfRule type="cellIs" dxfId="9" priority="7" operator="notEqual">
      <ns0:formula>$R$200</ns0:formula>
    </ns0:cfRule>
    <ns0:cfRule type="cellIs" dxfId="8" priority="8" operator="equal">
      <ns0:formula>$R$200</ns0:formula>
    </ns0:cfRule>
  </ns0:conditionalFormatting>
  <ns0:conditionalFormatting sqref="S261:T261">
    <ns0:cfRule type="cellIs" dxfId="7" priority="6" operator="equal">
      <ns0:formula>$R$210</ns0:formula>
    </ns0:cfRule>
    <ns0:cfRule type="cellIs" dxfId="6" priority="5" operator="notEqual">
      <ns0:formula>$R$210</ns0:formula>
    </ns0:cfRule>
  </ns0:conditionalFormatting>
  <ns0:conditionalFormatting sqref="S262:T262">
    <ns0:cfRule type="cellIs" dxfId="5" priority="4" operator="equal">
      <ns0:formula>$R$225</ns0:formula>
    </ns0:cfRule>
    <ns0:cfRule type="cellIs" dxfId="4" priority="3" operator="notEqual">
      <ns0:formula>$R$225</ns0:formula>
    </ns0:cfRule>
  </ns0:conditionalFormatting>
  <ns0:conditionalFormatting sqref="S263:T263">
    <ns0:cfRule type="cellIs" dxfId="3" priority="1" operator="notEqual">
      <ns0:formula>$R$235</ns0:formula>
    </ns0:cfRule>
    <ns0:cfRule type="cellIs" dxfId="2" priority="2" operator="equal">
      <ns0:formula>$R$235</ns0:formula>
    </ns0:cfRule>
  </ns0:conditionalFormatting>
  <ns0:conditionalFormatting sqref="S264:T264">
    <ns0:cfRule type="cellIs" dxfId="1" priority="54" operator="notEqual">
      <ns0:formula>$T$239</ns0:formula>
    </ns0:cfRule>
    <ns0:cfRule type="cellIs" dxfId="0" priority="55" operator="equal">
      <ns0:formula>$T$239</ns0:formula>
    </ns0:cfRule>
  </ns0:conditionalFormatting>
  <ns0:printOptions horizontalCentered="1" verticalCentered="1"/>
  <ns0:pageMargins left="0" right="0" top="0" bottom="0" header="0" footer="0"/>
  <ns0:pageSetup scale="98" fitToHeight="7" orientation="landscape" ns4:id="rId1"/>
  <ns0:headerFooter alignWithMargins="0">
    <ns0:oddFooter>&amp;CPage &amp;P of &amp;N</ns0:oddFooter>
  </ns0:headerFooter>
  <ns0:rowBreaks count="8" manualBreakCount="8">
    <ns0:brk id="35" max="19" man="1"/>
    <ns0:brk id="70" max="19" man="1"/>
    <ns0:brk id="105" max="16383" man="1"/>
    <ns0:brk id="140" max="16383" man="1"/>
    <ns0:brk id="175" max="16383" man="1"/>
    <ns0:brk id="210" max="16383" man="1"/>
    <ns0:brk id="240" max="19" man="1"/>
    <ns0:brk id="264" max="16383" man="1"/>
  </ns0:rowBreaks>
  <ns0:ignoredErrors>
    <ns0:ignoredError sqref="D11:Q11 E14 D46:Q46 E49 G53:K53 D56:O56 D59:K59 D63:Q63 D66:Q66 R61:R69 D69:K69 D78:G78 D81:Q81 D84:K84 E88:M88 D91:M91 D94:K94 D98:E98 D101:Q101 E104 D113:Q113 D116:Q116 D119:K119 D123:E123 D126:O126 D129:Q129 F133:G133 D136:O136 D139:K139 D148:Q148 D151:Q151 D154:Q154 D158:Q158 D161:Q161 D164:Q164 D21:Q21 D31:Q31 S142 S107 S72 S37 L18:Q18 D19:G19 L19:M19 D20:G20 L20:M20 D25:Q25 D22:G22 J22:K22 D23:G23 J23:Q23 J133:K133 L98:Q98 L123:M123 P8:Q8 F28:Q28 H43:M43 P43:Q43 J78:Q78 N133:O133 D29:K29 O29 D30:K30 O30 Q29 Q30 O88 O91 Q91 Q104 D33:Q33 D32:E32 G32 I32 K32 M32:Q32 D34:E34 G34 I34 K34 M34:Q34 O19 O20 D24:K24 M24:Q24 G49 I49 K49 M49 O49:Q49 M59:Q59 M22:Q22 M69:Q69 M84 O84:Q84 Q88 M94:Q94 G104 I104 K104 M104 O104 M119:Q119 M139:Q139 M53:Q53 Q56" unlockedFormula="1"/>
  </ns0:ignoredErrors>
  <ns0:drawing ns4:id="rId2"/>
</ns0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1E294B27C1948950D190E8A6713E7" ma:contentTypeVersion="8" ma:contentTypeDescription="Create a new document." ma:contentTypeScope="" ma:versionID="422f879e39aa73d908b597a488dd4e0d">
  <xsd:schema xmlns:xsd="http://www.w3.org/2001/XMLSchema" xmlns:xs="http://www.w3.org/2001/XMLSchema" xmlns:p="http://schemas.microsoft.com/office/2006/metadata/properties" xmlns:ns2="e49cbad6-eb98-4e8a-9ebb-be8a5283806d" xmlns:ns3="bd7b9679-beaa-491f-9069-06c9857bb1bd" targetNamespace="http://schemas.microsoft.com/office/2006/metadata/properties" ma:root="true" ma:fieldsID="a055aae46bd5d558c775020d5ad36bd6" ns2:_="" ns3:_="">
    <xsd:import namespace="e49cbad6-eb98-4e8a-9ebb-be8a5283806d"/>
    <xsd:import namespace="bd7b9679-beaa-491f-9069-06c9857bb1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cbad6-eb98-4e8a-9ebb-be8a528380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b9679-beaa-491f-9069-06c9857bb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2ECFC7-73A9-4A93-B291-63F959668F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D448B7-FDD9-4DE9-B5F4-0E1B4E593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9cbad6-eb98-4e8a-9ebb-be8a5283806d"/>
    <ds:schemaRef ds:uri="bd7b9679-beaa-491f-9069-06c9857bb1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346C20-C6A3-44DE-85F4-9A56033C255A}">
  <ds:schemaRefs>
    <ds:schemaRef ds:uri="http://purl.org/dc/terms/"/>
    <ds:schemaRef ds:uri="bd7b9679-beaa-491f-9069-06c9857bb1bd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e49cbad6-eb98-4e8a-9ebb-be8a5283806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Doll</dc:creator>
  <cp:keywords/>
  <dc:description/>
  <cp:lastModifiedBy>Boerder, John</cp:lastModifiedBy>
  <cp:revision/>
  <cp:lastPrinted>2026-04-06T12:30:33Z</cp:lastPrinted>
  <dcterms:created xsi:type="dcterms:W3CDTF">1999-01-06T17:21:54Z</dcterms:created>
  <dcterms:modified xsi:type="dcterms:W3CDTF">2026-04-06T12:30:48Z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0x010100DB61E294B27C1948950D190E8A6713E7</vt:lpwstr>
  </property>
</Properties>
</file>